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 tabRatio="924" activeTab="3"/>
  </bookViews>
  <sheets>
    <sheet name="①封面·使用说明" sheetId="1" r:id="rId1"/>
    <sheet name="②方法论速查·九问" sheetId="2" r:id="rId2"/>
    <sheet name="③四类客户·组织与角色" sheetId="3" r:id="rId3"/>
    <sheet name="④G64111诊断表(标准)" sheetId="4" r:id="rId4"/>
    <sheet name="⑤趋赢力打分表(可填写)" sheetId="5" r:id="rId5"/>
    <sheet name="⑥行动宝典·信息收集" sheetId="6" r:id="rId6"/>
    <sheet name="⑦行动宝典·关系加强" sheetId="7" r:id="rId7"/>
    <sheet name="⑧FORM表(能源版)" sheetId="8" r:id="rId8"/>
    <sheet name="⑨竞争策略741" sheetId="9" r:id="rId9"/>
    <sheet name="⑩行动计划模板" sheetId="10" r:id="rId10"/>
    <sheet name="⑪变更记录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<sst xmlns="http://schemas.openxmlformats.org/spreadsheetml/2006/main" count="1238" uniqueCount="921">
  <si>
    <t>广联达数字能源 · 大客户拓展与经营工具</t>
  </si>
  <si>
    <t>G64111 趋赢力诊断表  +  行动宝典（信息收集 · 关系加强）</t>
  </si>
  <si>
    <t>基于「销售罗盘 · 九问」方法论  ·  数字能源业务部本地化定制版  ·  v1.1  ·  2026-06</t>
  </si>
  <si>
    <t>工具定位</t>
  </si>
  <si>
    <t>本工具是数字能源业务部销售经营「单个项目机会」的作战地图，把「销售罗盘」方法论落地为可打分、可执行的实战工具。</t>
  </si>
  <si>
    <t>核心逻辑：先用 G64111 给项目「趋赢力」打分（判断赢面），再依据分差选竞争策略，最后到「行动宝典」里取动作与话术，形成行动计划并持续复盘。</t>
  </si>
  <si>
    <t>G64111 = 6 必清事项 + 4 优势要素 + 1 决胜指标 + 1 套竞争策略 + 1 个行动计划，满分 100 分。</t>
  </si>
  <si>
    <t>适用客户（四类·分别定制）</t>
  </si>
  <si>
    <t>① 五大六小央企能源集团：国家能源集团、国家电投、华能、华电、大唐、华润电力、三峡集团、中广核等。</t>
  </si>
  <si>
    <t>② 地方能源国企：京能集团、广东能源、深圳能源、四川能投、浙江新能、甘肃能源、广发新能源。</t>
  </si>
  <si>
    <t>③ 分布式头部民企：正泰安能、阳光新能源、创维光伏、TCL光伏。</t>
  </si>
  <si>
    <t>④ EPC总承包商：中国电建、中国能建、特变电工。</t>
  </si>
  <si>
    <t>适用业务（数字能源产品线）</t>
  </si>
  <si>
    <t>· 投资管控：新能源项目投资决策、投资计划、资金与概算管控。</t>
  </si>
  <si>
    <t>· 造价 / 成本管控：工程造价、目标成本、合同与结算管控。</t>
  </si>
  <si>
    <t>· EPC / 工程项目管理：风光储电站建设期的进度、质量、安全、物资、多方协同管控。</t>
  </si>
  <si>
    <t>使用流程（七步法）</t>
  </si>
  <si>
    <t>1. 识别变化、定目标：明确本项目的单一销售目标，理解客户业务目标与购买动机（第一问）。</t>
  </si>
  <si>
    <t>2. 画组织、找关键人：用「③四类客户·组织结构与角色映射」识别 A/D/U/R/C 与招采关键人（第三/五问）。</t>
  </si>
  <si>
    <t>3. 逐项核实必清：对照「④G64111 评分标准」核实 6 必清 + 4 优势 + 1 决胜，缺口即情报任务。</t>
  </si>
  <si>
    <t>4. 自评趋赢力：在「⑤趋赢力打分表」打分，系统自动算总分、判态势、荐策略。</t>
  </si>
  <si>
    <t>5. 选竞争策略：依据「⑨竞争策略 741」按分差锁定可承诺 / 可争取 / 可参与 / 重新复盘。</t>
  </si>
  <si>
    <t>6. 取动作与话术：到「⑥⑦行动宝典」按客户类型选择销售动作、提问话术、预判质疑与示范案例。</t>
  </si>
  <si>
    <t>7. 落地行动计划并复盘：在「⑩行动计划模板」排兵布阵，按周复盘、动态更新打分。</t>
  </si>
  <si>
    <t>名词速查</t>
  </si>
  <si>
    <t>A 批准人</t>
  </si>
  <si>
    <t>掌握预算与最终否决权的最高决策人（对应销售罗盘 EB 经济购买影响者）</t>
  </si>
  <si>
    <t>D 拍板人</t>
  </si>
  <si>
    <t>对本项目拍板定夺的决策人（业务/数字化归口负责人）</t>
  </si>
  <si>
    <t>U 使用者</t>
  </si>
  <si>
    <t>使用产品并直接受益者（项目部/场站/业务岗，对应 UB）</t>
  </si>
  <si>
    <t>R 影响者</t>
  </si>
  <si>
    <t>推荐或把关技术标准者（外部专家、总工程师、信息化技术、招采、评标专家，对应 TB）</t>
  </si>
  <si>
    <t>C 教练</t>
  </si>
  <si>
    <t>提供信息、引导销售、内部倡导者（Coach）</t>
  </si>
  <si>
    <t>+ / ☆</t>
  </si>
  <si>
    <t>+＝明确支持；☆＝顶住压力公开排他性支持（最高级别支持）</t>
  </si>
  <si>
    <t>- / x</t>
  </si>
  <si>
    <t>-＝负面/抗拒；x＝支持竞争对手</t>
  </si>
  <si>
    <t>BI 燃眉之急</t>
  </si>
  <si>
    <t>Burning Issue：客户个人的、私人的、紧急且重要的痛点</t>
  </si>
  <si>
    <t>UCV 独特价值</t>
  </si>
  <si>
    <t>Unique Customer Value：能解决客户 BI 的、对手给不了的独特价值</t>
  </si>
  <si>
    <t>密谋</t>
  </si>
  <si>
    <t>私下见面共同策划招标参数/评标规则并落实使用</t>
  </si>
  <si>
    <t>1K / 4P</t>
  </si>
  <si>
    <t>1K＝与最高决策人 A 的关系；4P＝四类关键购买影响人</t>
  </si>
  <si>
    <t>说明：本工具改编自教育BU「G64111 v2.1」与「GDU行动计划 v2.1 行动宝典」，方法论同源于销售罗盘九问，内容已全面替换为数字能源场景。使用中如发现更优话术/案例，请在「⑩变更记录」登记并迭代。</t>
  </si>
  <si>
    <t>销售罗盘 · 九问方法论速查</t>
  </si>
  <si>
    <t>识别变化→明确目标→判断态势→分析角色→制定策略→行动计划→调配资源（循环迭代）</t>
  </si>
  <si>
    <t>一、销售罗盘九问 ⇄ G64111 得分项对照</t>
  </si>
  <si>
    <t>步骤</t>
  </si>
  <si>
    <t>分析环节</t>
  </si>
  <si>
    <t>核心问题</t>
  </si>
  <si>
    <t>关键产出 / 工具</t>
  </si>
  <si>
    <t>对应得分项</t>
  </si>
  <si>
    <t>1</t>
  </si>
  <si>
    <t>识别变化·明确目标</t>
  </si>
  <si>
    <t>第一问：客户究竟想要什么？</t>
  </si>
  <si>
    <t>本项目单一销售目标；客户业务目标与购买动机</t>
  </si>
  <si>
    <t>—（前提）</t>
  </si>
  <si>
    <t>2</t>
  </si>
  <si>
    <t>判断形势</t>
  </si>
  <si>
    <t>第二问：我的位置在哪里？</t>
  </si>
  <si>
    <t>所处阶段·紧迫程度·竞争态势·项目温度</t>
  </si>
  <si>
    <t>C4 介入阶段</t>
  </si>
  <si>
    <t>3</t>
  </si>
  <si>
    <t>分析角色</t>
  </si>
  <si>
    <t>第三问：如何找到关键人？</t>
  </si>
  <si>
    <t>ADURC 组织结构图、招采关键人</t>
  </si>
  <si>
    <t>C1 / P2</t>
  </si>
  <si>
    <t>4</t>
  </si>
  <si>
    <t>分析态势</t>
  </si>
  <si>
    <t>第四问：客户如何评价我？</t>
  </si>
  <si>
    <t>各角色支持度(+5~-5) 与变化模式</t>
  </si>
  <si>
    <t>P1</t>
  </si>
  <si>
    <t>5</t>
  </si>
  <si>
    <t>参与影响</t>
  </si>
  <si>
    <t>第五问：究竟谁说了算？</t>
  </si>
  <si>
    <t>各角色影响度·参与度；A / D / 关键影响人</t>
  </si>
  <si>
    <t>P3 / P4 / 1K</t>
  </si>
  <si>
    <t>6</t>
  </si>
  <si>
    <t>剖析价值</t>
  </si>
  <si>
    <t>第六问：他们到底想什么？</t>
  </si>
  <si>
    <t>公司价值(结果)＋个人价值(赢)；拍板人 BI</t>
  </si>
  <si>
    <t>C2</t>
  </si>
  <si>
    <t>7</t>
  </si>
  <si>
    <t>调配资源</t>
  </si>
  <si>
    <t>第七问：如何有效用资源？</t>
  </si>
  <si>
    <t>高层领导 / 集团专家 / 样板客户 / 咨询顾问</t>
  </si>
  <si>
    <t>C6 UCV</t>
  </si>
  <si>
    <t>8</t>
  </si>
  <si>
    <t>制定策略</t>
  </si>
  <si>
    <t>第八问：如何应对关键人？</t>
  </si>
  <si>
    <t>单点策略：建 + / 建 ☆（压力测试）</t>
  </si>
  <si>
    <t>9</t>
  </si>
  <si>
    <t>应对竞争</t>
  </si>
  <si>
    <t>第九问：面对竞争怎么办？</t>
  </si>
  <si>
    <t>竞争策略 741：优势/劣势下的 8 种打法</t>
  </si>
  <si>
    <t>1 套竞争策略</t>
  </si>
  <si>
    <t>二、关键角色（ADURC ＝ EB / UB / TB / Coach）</t>
  </si>
  <si>
    <t>角色</t>
  </si>
  <si>
    <t>定位</t>
  </si>
  <si>
    <t>在能源客户中的典型岗位</t>
  </si>
  <si>
    <t>细分购买影响</t>
  </si>
  <si>
    <t>关注点</t>
  </si>
  <si>
    <t>A 批准人
(EB)</t>
  </si>
  <si>
    <t>最终拍板、掌握预算与否决权</t>
  </si>
  <si>
    <t>集团/二级单位主要领导、分管副总、CIO/总会计师</t>
  </si>
  <si>
    <t>E-DB 终决策 / E-PB 建议决策</t>
  </si>
  <si>
    <t>公司整体回报与风险</t>
  </si>
  <si>
    <t>对本项目拍板定夺，业务/数字化归口负责人</t>
  </si>
  <si>
    <t>信息化部、财务部、工程管理部、新能源事业部负责人</t>
  </si>
  <si>
    <t>—</t>
  </si>
  <si>
    <t>本项目成败与个人责任</t>
  </si>
  <si>
    <t>U 使用者
(UB)</t>
  </si>
  <si>
    <t>使用产品，直接或间接受益</t>
  </si>
  <si>
    <t>项目部/场站的成本、计划、工程、物资、安全岗</t>
  </si>
  <si>
    <t>U-WB 直接使用 / U-BB 应用受益</t>
  </si>
  <si>
    <t>好不好用、减不减负</t>
  </si>
  <si>
    <t>R 影响者
(TB)</t>
  </si>
  <si>
    <t>推荐或把关技术标准者，把关技术、商务、流程标准</t>
  </si>
  <si>
    <t>信息化技术专家、招标采购中心、外部评标专家</t>
  </si>
  <si>
    <t>T-CB 标准把关 / T-FB 预算支持 / T-AB 流程审批</t>
  </si>
  <si>
    <t>是否有价值、是否合规、是否达标</t>
  </si>
  <si>
    <t>C 教练
（Coach）</t>
  </si>
  <si>
    <t>提供信息、引导销售、内部倡导</t>
  </si>
  <si>
    <t>业务/信息化骨干、公司或部门领导</t>
  </si>
  <si>
    <t>C-CO 指导教练 / C-CA 内部倡导</t>
  </si>
  <si>
    <t>与我方的信任与共赢</t>
  </si>
  <si>
    <t>三、支持度（情感温度，判断 +/- 的标尺）</t>
  </si>
  <si>
    <t>正向</t>
  </si>
  <si>
    <t>分值</t>
  </si>
  <si>
    <t>负向 / 中性</t>
  </si>
  <si>
    <t>热情拥护</t>
  </si>
  <si>
    <t>+5</t>
  </si>
  <si>
    <t>应该不会拒绝</t>
  </si>
  <si>
    <t>?（不计分）</t>
  </si>
  <si>
    <t>大力支持</t>
  </si>
  <si>
    <t>+4</t>
  </si>
  <si>
    <t>不感兴趣</t>
  </si>
  <si>
    <t>-1</t>
  </si>
  <si>
    <t>支持</t>
  </si>
  <si>
    <t>+3</t>
  </si>
  <si>
    <t>作负面评价</t>
  </si>
  <si>
    <t>-2</t>
  </si>
  <si>
    <t>有兴趣</t>
  </si>
  <si>
    <t>+2</t>
  </si>
  <si>
    <t>抗拒你的建议</t>
  </si>
  <si>
    <t>-4</t>
  </si>
  <si>
    <t>认可认同</t>
  </si>
  <si>
    <t>+1</t>
  </si>
  <si>
    <t>支持你的对手</t>
  </si>
  <si>
    <t>-5</t>
  </si>
  <si>
    <t>四、客户变化模式（决定紧迫度与切入方式）</t>
  </si>
  <si>
    <t>模式</t>
  </si>
  <si>
    <t>含义</t>
  </si>
  <si>
    <t>客户心态</t>
  </si>
  <si>
    <t>销售启示</t>
  </si>
  <si>
    <t>G 如虎添翼（增长型）</t>
  </si>
  <si>
    <t>现状不错，想变得更好</t>
  </si>
  <si>
    <t>我希望变得比现在更好</t>
  </si>
  <si>
    <t>机会窗口：给「增量价值」、做大蛋糕</t>
  </si>
  <si>
    <t>T 亡羊补牢（困境型）</t>
  </si>
  <si>
    <t>遇到麻烦必须解决</t>
  </si>
  <si>
    <t>我遇到麻烦要尽快解决</t>
  </si>
  <si>
    <t>最佳窗口：给「止损方案」、制造紧迫</t>
  </si>
  <si>
    <t>EK 我行我素（平稳型）</t>
  </si>
  <si>
    <t>觉得现在挺好、没必要改</t>
  </si>
  <si>
    <t>现在挺好，没必要改变</t>
  </si>
  <si>
    <t>先制造落差/危机感，再谈改变</t>
  </si>
  <si>
    <t>OC 班门弄斧（自负型）</t>
  </si>
  <si>
    <t>自认比别人强、不需要改</t>
  </si>
  <si>
    <t>我比别人强，改什么？</t>
  </si>
  <si>
    <t>用事实对标/标杆案例打破自负</t>
  </si>
  <si>
    <t>五、教练五级 与 结果/赢的四程度</t>
  </si>
  <si>
    <t>教练（Coach）五级</t>
  </si>
  <si>
    <t>结果与赢·四程度</t>
  </si>
  <si>
    <t>① 提供有效信息</t>
  </si>
  <si>
    <t>共识：客户与我已达成共识、彼此认同</t>
  </si>
  <si>
    <t>② 提供独特信息</t>
  </si>
  <si>
    <t>明确：对方已向我明确表达</t>
  </si>
  <si>
    <t>③ 评估关键人</t>
  </si>
  <si>
    <t>推理：我方推测客户有此需求</t>
  </si>
  <si>
    <t>④ 提出行动建议</t>
  </si>
  <si>
    <t>不清：目前尚不知道</t>
  </si>
  <si>
    <t>⑤ 全面互动（最高级）</t>
  </si>
  <si>
    <t>— 信息可信度依次降低 →</t>
  </si>
  <si>
    <t>四类客户 · 组织结构与 ADURC 角色映射</t>
  </si>
  <si>
    <t>能源客户决策链差异大——先对号入座，再用「⑥⑦行动宝典」选打法</t>
  </si>
  <si>
    <t>维度</t>
  </si>
  <si>
    <t>① 央企发电集团_x000b_（五大六小）</t>
  </si>
  <si>
    <t>② 地方能源国企</t>
  </si>
  <si>
    <t>③ 分布式头部民企</t>
  </si>
  <si>
    <t>④ EPC总承包商</t>
  </si>
  <si>
    <t>市场地位</t>
  </si>
  <si>
    <t>主导地位</t>
  </si>
  <si>
    <t>重要力量</t>
  </si>
  <si>
    <t>活跃力量</t>
  </si>
  <si>
    <t>项目加速器</t>
  </si>
  <si>
    <t>代表企业</t>
  </si>
  <si>
    <t>国家能源集团、国家电投、华能、华电、大唐（五大）；华润电力、三峡集团、中广核、国投电力、京能、申能等（六小/区域龙头）</t>
  </si>
  <si>
    <t>京能集团、广东能源、深圳能源、四川能投、浙江新能、甘肃能源、广发新能源</t>
  </si>
  <si>
    <t>正泰安能、阳光新能源、创维光伏、TCL光伏</t>
  </si>
  <si>
    <t>中国电建、中国能建、特变电工</t>
  </si>
  <si>
    <t>客户特点</t>
  </si>
  <si>
    <t>资金雄厚、资源获取能力强；部分细分领域优势明显；
体量巨大、管理层级多；强合规、重流程、决策周期长；总部统筹＋集团集采；对标世界一流、双碳与考核驱动</t>
  </si>
  <si>
    <t>区域资源优势、政策协同能力强；_x000b_光伏、风电协同发展，其中分布式光伏成为地方国企重要增长点</t>
  </si>
  <si>
    <t>分布式市场深耕、机制灵活；决策链短、老板/总经理拍板快；ROI 导向、重性价比与回报周期；机制灵活、采购方式多样；看重落地见效与服务响应</t>
  </si>
  <si>
    <t>“资源整合能力”与“交付确定性；工程属性强、项目制；总部定方向、工程局/项目部落地；看重多项目复制与投标加分/履约；成本与进度敏感</t>
  </si>
  <si>
    <t>典型组织层级</t>
  </si>
  <si>
    <t>集团总部 → 区域公司/二级子公司（如 XX 发电、XX 新能源）→ 项目公司/场站</t>
  </si>
  <si>
    <t>集团总部 → 区域/子公司（发电、新能源、工程）→ 项目公司/场站（层级中等，受省/市国资委监管）</t>
  </si>
  <si>
    <t>集团/公司总部 → 事业部/区域 → 项目公司（层级少、扁平）</t>
  </si>
  <si>
    <t>集团 → 工程局/子公司/设计院 → 区域公司/事业部 → 项目部</t>
  </si>
  <si>
    <t>A 批准人 / 最高决策人(EB)</t>
  </si>
  <si>
    <t>集团或二级单位主要领导（董事长/总经理）、分管数字化/财务副总、CIO/总会计师；大额项目上党组会/董事会</t>
  </si>
  <si>
    <t>集团董事长/总经理（省/市管干部，受国资委管理）、分管数字化/财务副总；重大项目上党委会/董事会</t>
  </si>
  <si>
    <t>董事长/总裁/实际控制人（民营老板）；地方国企为集团主要领导。老板常既是 A 又是 D</t>
  </si>
  <si>
    <t>集团/工程局分管信息化或工程的领导（副总经理、总工、CIO）</t>
  </si>
  <si>
    <t>D 拍板人 / 决策人</t>
  </si>
  <si>
    <t>归口部门负责人——信息化部/数智化部、财务部、工程管理部、新能源事业部（视项目归口而定）</t>
  </si>
  <si>
    <t>信息化/数字化部、财务部、新能源/工程事业部负责人（视项目归口而定）</t>
  </si>
  <si>
    <t>总经理/分管副总，或数字化/工程负责人；中小项目老板直接拍</t>
  </si>
  <si>
    <t>信息化部/科技部、工程管理部、总工办负责人；多项目时为事业部/区域负责人</t>
  </si>
  <si>
    <t>U 使用者(UB)</t>
  </si>
  <si>
    <t>项目公司/场站的成本、计划、工程、物资、合约岗；区域公司业务人员</t>
  </si>
  <si>
    <t>子公司/项目公司的投资、计划、成本、工程、运营岗；人员精干、一专多能</t>
  </si>
  <si>
    <t>投资、工程、成本团队；人数少、一专多能</t>
  </si>
  <si>
    <t>项目部——项目经理、总工、商务经理、计划/成本/安全/质量员</t>
  </si>
  <si>
    <t>R 影响者 / 技术选型把关(TB)</t>
  </si>
  <si>
    <t>信息化部技术与规划专家、数据/网络安全部门；招标采购中心；外部评标专家库</t>
  </si>
  <si>
    <t>信息化技术与规划骨干、招标采购部；外部设计院/咨询、省级评标专家库</t>
  </si>
  <si>
    <t>信息化负责人或外部技术顾问；老板信任的技术高管</t>
  </si>
  <si>
    <t>信息化部技术、总工办、企业管理部；物资采购部/招标中心</t>
  </si>
  <si>
    <t>C 教练(Coach)</t>
  </si>
  <si>
    <t>业务部门与信息化骨干、规划研究院；外部设计院、咨询机构、总集成商、同业标杆</t>
  </si>
  <si>
    <t>集团内信息化/业务骨干、分管领导及秘书、已合作部门负责人、外部顾问；董事长/总经理的信任圈</t>
  </si>
  <si>
    <t>老板信任的高管、外部专家、同行老板推荐、已合作的标杆客户</t>
  </si>
  <si>
    <t>项目部技术/商务骨干、企业信息化顾问、行业协会专家</t>
  </si>
  <si>
    <t>招采关键人</t>
  </si>
  <si>
    <t>集团/二级单位采购招标管理部门负责人、集采平台运营方、招标代理机构、甲方项目代表（评标委员会）</t>
  </si>
  <si>
    <t>集团采购/招标管理部负责人、省（市）公共资源交易中心或省级国企采购平台、招标代理机构、甲方项目代表</t>
  </si>
  <si>
    <t>采购/商务负责人、老板指定的招标对接人；招标代理（部分项目）</t>
  </si>
  <si>
    <t>物资采购部/招标中心负责人、招标代理、项目甲方代表</t>
  </si>
  <si>
    <t>采购方式与平台</t>
  </si>
  <si>
    <t>集团集中采购、公开招标、竞争性谈判、框架协议；走集团电子采购/招投标平台（如国能 e 购、国家电投 E 采通等）；金额门槛高、合规严</t>
  </si>
  <si>
    <t>公开招标、竞争性谈判、框架协议；多走省（市）公共资源交易中心或省级国企电子采购平台；合规严，但流程比央企短、决策较快</t>
  </si>
  <si>
    <t>商务谈判、邀请招标、单一来源/直接采购更常见；决策快、方式灵活</t>
  </si>
  <si>
    <t>集团电子采购平台、公开招标、竞争性谈判、框架协议；项目级可走项目采购</t>
  </si>
  <si>
    <t>立项驱动力 / 依据</t>
  </si>
  <si>
    <t>集团“十四五”数字化/信息化规划、国资委国企改革深化提升行动与数字化转型考核、对标世界一流、双碳目标、新能源装机/投产目标、降本增效、审计巡视整改</t>
  </si>
  <si>
    <t>省国资委数字化转型/对标考核、做强做大省级能源平台、地方双碳与能源保供任务、资产证券化/混改/上市合规、降本增效、抢装抢并网指标</t>
  </si>
  <si>
    <t>业务规模扩张、投资回报与成本管控、融资/上市合规、老板数字化/精细化理念、抢装抢工期</t>
  </si>
  <si>
    <t>集团数字化转型/智慧工程战略、项目精细化管理、降本增效、投标数字化能力加分、履约能力提升、对标考核</t>
  </si>
  <si>
    <t>资金来源</t>
  </si>
  <si>
    <t>信息化专项预算、技改资金、生产经营预算、研发投入；或计入新能源项目建设投资（工程概算）</t>
  </si>
  <si>
    <t>信息化专项预算、企业自有资金、计入新能源项目建设投资（概算）；部分地方财政专项/补贴</t>
  </si>
  <si>
    <t>企业自有资金/年度预算；决策灵活，老板一支笔</t>
  </si>
  <si>
    <t>信息化专项、研发经费；或计入工程项目成本（项目级采购）</t>
  </si>
  <si>
    <t>决策链特点</t>
  </si>
  <si>
    <t>链条最长、角色最多；“总部定标准、二级做主体、项目去使用”；需同时影响 A/D/招采关键人，强调合规与项目排序</t>
  </si>
  <si>
    <t>链条中等；“省国资委定调、集团做主体、子公司去落地”；决策比央企快、比民企规范；地方政府与省国资委关系是隐性关键</t>
  </si>
  <si>
    <t>链条最短；老板/总经理一锤定音；快速决策但需建立信任、证明 ROI</t>
  </si>
  <si>
    <t>项目制驱动；总部立标杆、项目部要落地见效；关注可复制性与履约能力</t>
  </si>
  <si>
    <t>销售打法启示
（造价/EPC/投资管控）</t>
  </si>
  <si>
    <t>顶层规划切入（陪跑“十四五”/数字化转型蓝图），先拿试点/标杆再集团推广：造价成本以降本增效+审计合规立项，EPC 以多项目管控+投产达产立项，投资管控以投资决策+概算管控立项；务必摸清集采规则与项目排序，与招采关键人密谋评标策略</t>
  </si>
  <si>
    <t>主打“省级标杆＋对标央企＋助力做强省级能源平台”，用央企标杆案例降低决策风险、强调本地化快速服务；分布式与集中式并重；借省能源局/国资委/设计院/行业协会资源切入：造价成本以降本增效＋国资考核立项，投资管控以投资决策＋资产证券化规范立项，EPC 以自建项目管控＋抢并网立项</t>
  </si>
  <si>
    <t>直接对话老板/总经理，用 ROI、回报周期、抢装抢工期与标杆案例说话；快速 POC/试点见效；以服务响应＋性价比建立长期合作；投资管控＋成本管控组合拳</t>
  </si>
  <si>
    <t>以“投标加分＋项目降本＋多项目复制”打动总部，以项目部痛点（进度/成本/安全）落地；先攻一个样板工程局/院做标杆，再横向复制；EPC 工程管控是主战场</t>
  </si>
  <si>
    <t>数字能源项目趋赢力诊断表（G64111）· 评分标准</t>
  </si>
  <si>
    <t>G6-4-1-1-1 ＝ 6 必清事项 ＋ 4 优势要素 ＋ 1 决胜指标 ＋ 1 套竞争策略 ＋ 1 个行动计划（满分 100）</t>
  </si>
  <si>
    <t>类别</t>
  </si>
  <si>
    <t>编号</t>
  </si>
  <si>
    <t>得分项</t>
  </si>
  <si>
    <t>诊断标准（数字能源本地化）</t>
  </si>
  <si>
    <t>倾向性 / 计分</t>
  </si>
  <si>
    <t>趋赢力(分)</t>
  </si>
  <si>
    <t>6 必清事项
6 Clears</t>
  </si>
  <si>
    <t>C1</t>
  </si>
  <si>
    <t>客户项目组织结构图
（ADURC 及倾向性、D 的 FORM 表）</t>
  </si>
  <si>
    <t>ADURC — 7 分：组织结构图角色有缺失直接扣 3 分，除 A 以外每个“?”号扣 1 分；采购/招标管理负责人、招标代理或集采平台负责人、甲方项目代表，三者整体占 1 分。
D 的 FORM 表 — 3 分：家庭 7 问（籍贯/年纪/生日/毕业院校/配偶/子女/父母）完整满分，少 1 扣 1 分，扣完为止。</t>
  </si>
  <si>
    <t>完整且角色清晰</t>
  </si>
  <si>
    <t>项目拍板人(D) 的燃眉之急
Burning Issues（个人/私人、紧急且重要）</t>
  </si>
  <si>
    <t>摸清并能明确陈述 D 的 BI——如：数字化转型考核压力、降本增效 KPI、新能源装机/按期投产目标、审计巡视/合规整改、个人晋升（处级/部门总）、安全质量责任等。
有：5 分；没有：0 分。</t>
  </si>
  <si>
    <t>有=5 / 无=0</t>
  </si>
  <si>
    <t>C3</t>
  </si>
  <si>
    <t>项目立项材料 及 项目排序</t>
  </si>
  <si>
    <t>立项原因、项目名称、项目预算、项目实施计划、资金来源、项目排序、采购方式；共 7 项，少一项扣 1 分（扣至 0 止）。</t>
  </si>
  <si>
    <t>7 项齐全</t>
  </si>
  <si>
    <t>C4</t>
  </si>
  <si>
    <t>介入项目阶段（越早越主动）</t>
  </si>
  <si>
    <t>需求调研立项 — 5 分；方案/可研编制上报 — 4 分；预算（概算）批复 / 资金申报 — 3 分；招标方案论证 — 2 分；招采执行 — 1 分。</t>
  </si>
  <si>
    <t>阶段越早分越高</t>
  </si>
  <si>
    <t>C5</t>
  </si>
  <si>
    <t>招采事项</t>
  </si>
  <si>
    <t>参与竞标方名单或家数、招标参数、评标规则、甲方项目代表、招标代理机构；共 5 项，少一项扣 1 分。</t>
  </si>
  <si>
    <t>5 项齐全</t>
  </si>
  <si>
    <t>C6</t>
  </si>
  <si>
    <t>UCV：C2（燃眉之急）已解决的程度</t>
  </si>
  <si>
    <t>针对 D 的 BI 给出对手给不了的独特价值（UCV）方案——建议并获得客户认可：3 分；已落地解决：5 分。</t>
  </si>
  <si>
    <t>认可=3 / 解决=5</t>
  </si>
  <si>
    <t>4 优势要素
4 Priorities</t>
  </si>
  <si>
    <t>项目组多数人支持</t>
  </si>
  <si>
    <t>① 对照组织结构图数 “+/☆”；② 须有明确信息确认；③ 数 “+/☆”，有几个得几分（最多 +5）；④ 数 “-/x”，有几个扣几分（最多 -5）；⑤ =/? 不得分。</t>
  </si>
  <si>
    <t>☆/+ 各 +1
=/? 不计
-/x 各 -1</t>
  </si>
  <si>
    <t>P2</t>
  </si>
  <si>
    <t>招采关键人支持</t>
  </si>
  <si>
    <t>【采购/招标管理部门负责人 · 3 选 1 · 占 4 分】密谋评标策略 4 / 口头承诺 1 / 未有效接触 0
【招标代理或集采平台负责人 · 3 选 1 · 占 2 分】密谋评标策略 2 / 口头承诺 1 / 未有效接触 0
【甲方项目代表 · 3 选 1 · 占 4 分】密谋评标策略 4 / 口头承诺 1 / 未有效接触 0
【以上三类均未有效接触 · 扣 5 分】
＜判定＞密谋＝私下密谋招标参数/评标规则且对方同意并落实使用；口头承诺＝私下沟通且对方同意采用有利于我方的评标策略；未有效接触＝未私下沟通过。</t>
  </si>
  <si>
    <t>按三项合计</t>
  </si>
  <si>
    <t>P3</t>
  </si>
  <si>
    <t>与拍板人 D 密谋 / 策划及明确支持</t>
  </si>
  <si>
    <t>“+” 判定（前提：可私下约见，满足以下任意 2 条）：① 共同策划项目预算 ② 提供客户内幕 ③ 共同制定招标文件 ④ 提供竞争对手情报 ⑤ 引荐 1K 或 4P ⑥ 帮助控制项目进度。（A 的“+”可不私下约见，看公开表态/口头承诺）
“☆” 判定（前提：有压力不退缩，如顶住上级压力公开“排他性”支持我方）：事实证明法可不满足下列 2 条；假设证明法需满足下列 ≥2 条：① 指导下一步工作 ② 确定有利于我方的商务/技术要求 ③ 排他性推荐我方 ④ 确定有利于我方的采购形式 ⑤ 指导报价 ⑥ 协助解决 A/D 的 BI。</t>
  </si>
  <si>
    <t>☆ +20 / + +10
=/? 0 / - -10 / x -20</t>
  </si>
  <si>
    <t>P4</t>
  </si>
  <si>
    <t>项目组关键影响人 密谋/策划及明确支持</t>
  </si>
  <si>
    <t>关键影响人判定：① 在项目组里 ② 不是拍板人或批准人 ③ 对拍板人/批准人的决定有影响，或是招采关键人。
注意：A/D 已是 ☆ 则理论上无需再找其关键影响人；同一时间只锁定一个关键影响人，优先找 D 的；项目前期重点找“能影响决策”的，后期（招采阶段）重点找“能推动定标”的。</t>
  </si>
  <si>
    <t>☆ +10 / + +5
=/?/-/x 0</t>
  </si>
  <si>
    <t>1 决胜指标
1 Key</t>
  </si>
  <si>
    <t>1K</t>
  </si>
  <si>
    <t>与最高决策人 A
密谋 + 策划 / 明确支持</t>
  </si>
  <si>
    <t>决胜指标。判定方式同 P3（“+/☆”），但作用于最高决策人 A。在央企/电建集团，A 的密谋常表现为公开表态、纳入规划、指定试点；在民营企业，A（老板）往往既是批准人又是拍板人，搞定 A 即接近赢单。</t>
  </si>
  <si>
    <t>合计</t>
  </si>
  <si>
    <t>趋赢力满分（6 必清 35 ＋ 4 优势 45 ＋ 1 决胜 20）</t>
  </si>
  <si>
    <t>1 套竞争策略（依据 741 / 趋赢力百分比）</t>
  </si>
  <si>
    <t>8 种竞争策略</t>
  </si>
  <si>
    <t>绝对优势：直接赢单；相对优势：制定规则 / 加速进度 / 总包（联合体·总集成）；相对劣势：改变规则（A 变 B 或 A 变 A±1）/ 减速拖延 / 拆包；绝对劣势：重新回炉、积极争取</t>
  </si>
  <si>
    <t>判定区间</t>
  </si>
  <si>
    <t>≥75% 绝对优势 · 可承诺   |   50%–75% 相对优势 · 可争取   |   25%–50%（参考 C4 采购周期）相对劣势 · 可参与   |   &lt;25% 绝对劣势 · 重新复盘</t>
  </si>
  <si>
    <t>1 个行动计划</t>
  </si>
  <si>
    <t>围绕得分缺口，按“得分项 → 场景 → 销售动作 → 目标及评价 → 手段及方法（话术）→ 完成时间/负责人 → 总结复盘”制定。动作话术与示范案例见「⑥行动宝典·信息收集」「⑦行动宝典·关系加强」，模板见「⑩行动计划模板」。</t>
  </si>
  <si>
    <t>项目趋赢力打分表（可填写 · 自动计算）</t>
  </si>
  <si>
    <t>黄色单元格为填写项；蓝色字为公式自动计算。负向得分（-）直接填负数。</t>
  </si>
  <si>
    <t>项目名称</t>
  </si>
  <si>
    <t>客户名称</t>
  </si>
  <si>
    <t>客户类型</t>
  </si>
  <si>
    <t>所处阶段</t>
  </si>
  <si>
    <t>主要竞争对手</t>
  </si>
  <si>
    <t>评估人 / 团队</t>
  </si>
  <si>
    <t>评估日期</t>
  </si>
  <si>
    <t>下次复盘日期</t>
  </si>
  <si>
    <t>满分</t>
  </si>
  <si>
    <t>自评得分</t>
  </si>
  <si>
    <t>评分要点</t>
  </si>
  <si>
    <t>佐证 / 备注</t>
  </si>
  <si>
    <t>6 必清
(35)</t>
  </si>
  <si>
    <t>客户组织结构图(ADURC)+D 的 FORM 表</t>
  </si>
  <si>
    <t>角色齐全无“?”、家庭7问完整</t>
  </si>
  <si>
    <t>拍板人 D 的燃眉之急 BI</t>
  </si>
  <si>
    <t>能明确陈述 D 的私人/紧急痛点=5</t>
  </si>
  <si>
    <t>立项材料 7 项 + 项目排序</t>
  </si>
  <si>
    <t>立项原因/名称/预算/计划/资金/排序/采购方式</t>
  </si>
  <si>
    <t>介入项目阶段</t>
  </si>
  <si>
    <t>越早越高：立项5→执行1</t>
  </si>
  <si>
    <t>招采事项 5 项</t>
  </si>
  <si>
    <t>竞标家数/参数/评标规则/甲方代表/招标代理</t>
  </si>
  <si>
    <t>UCV：BI 解决程度</t>
  </si>
  <si>
    <t>获认可=3 / 已解决=5</t>
  </si>
  <si>
    <t>4 优势
(45)</t>
  </si>
  <si>
    <t>数 +/☆ 得分、-/x 扣分（区间 -5~+5）</t>
  </si>
  <si>
    <t>采购+招标代理+甲方代表三项合计（-5~+10）</t>
  </si>
  <si>
    <t>与拍板人 D 密谋/明确支持</t>
  </si>
  <si>
    <t>☆20 / +10 / - -10 / x -20</t>
  </si>
  <si>
    <t>关键影响人密谋/明确支持</t>
  </si>
  <si>
    <t>☆10 / +5 / 其余 0</t>
  </si>
  <si>
    <t>1 决胜
(20)</t>
  </si>
  <si>
    <t>与最高决策人 A 密谋/明确支持</t>
  </si>
  <si>
    <t>6 必清事项 合计</t>
  </si>
  <si>
    <t>4 优势要素 合计</t>
  </si>
  <si>
    <t>1 决胜指标 合计</t>
  </si>
  <si>
    <t>趋赢力总分（满分 100）</t>
  </si>
  <si>
    <t>←自动汇总</t>
  </si>
  <si>
    <t>自动研判（依据趋赢力总分）</t>
  </si>
  <si>
    <t>趋赢力百分比</t>
  </si>
  <si>
    <t>竞争态势</t>
  </si>
  <si>
    <t>建议下一步</t>
  </si>
  <si>
    <t>提示</t>
  </si>
  <si>
    <t>P 类与 1K 可为负分（对手支持/抗拒）：直接填负数。每次拜访后更新打分并记录佐证，趋赢力随情报与关系动态变化。25%–50% 区间可参考 C4 采购周期判断是否值得投入。</t>
  </si>
  <si>
    <t>行动宝典 · 信息收集（必清 C1 / C2 / C3 / C5）</t>
  </si>
  <si>
    <t>按客户类型选行：① 央企发电集团　② 地方能源国企　③ 分布式头部民企　④ EPC 总承包商。话术为模板，使用时替换具体姓名、项目、数字。</t>
  </si>
  <si>
    <t>序号</t>
  </si>
  <si>
    <t>必清</t>
  </si>
  <si>
    <t>信息项 / 主题</t>
  </si>
  <si>
    <t>销售动作</t>
  </si>
  <si>
    <t>规划思路</t>
  </si>
  <si>
    <t>人物(ADURC)</t>
  </si>
  <si>
    <t>时间</t>
  </si>
  <si>
    <t>地点/场景</t>
  </si>
  <si>
    <t>手段及方法（主要动作 / 对客户的问题话术 / 预判质疑）</t>
  </si>
  <si>
    <t>典型案例（能源行业示范）</t>
  </si>
  <si>
    <t>收集拍板人 D 的 FORM 表（家庭 7 问）</t>
  </si>
  <si>
    <t>信息收集</t>
  </si>
  <si>
    <t>① 央企发电集团</t>
  </si>
  <si>
    <t>D（信息化/财务/工程管理部负责人）关系拉近后，在非正式场合（调研间隙、商务餐叙、行业会议茶歇）以“自我曝光＋话题类比”循序引导七问；央企领导谨慎，点到为止。</t>
  </si>
  <si>
    <t>D（处长/部门负责人）</t>
  </si>
  <si>
    <t>工作日调研后 / 行业会议</t>
  </si>
  <si>
    <t>茶歇 · 餐叙 · 考察途中</t>
  </si>
  <si>
    <t>主要动作：约调研 → 建立融洽氛围 → 用自己家乡/经历做铺垫 → 由对标交流、出差见闻切入 → 引导七问。
对客户的问题：
· 问籍贯：听处长口音不太像本地的，老家哪边的？（接特产/名人/政策共鸣）
· 问经历：处长这么年轻就分管数字化，是一路从基层技术干上来的吧？
· 问子女：孩子这会儿上初中还是高中了？现在升学压力都不小。
· 问父母：处长这么忙，老人身体还好吧，在身边还是老家？
预判质疑：①“没什么好聊的，还是说项目吧”→ 氛围不到即收，转回行业话题，下次再续。</t>
  </si>
  <si>
    <t>【人物】某发电集团新能源公司 信息化部 王部长
【时间】2025-09　【地点】项目调研返程车上
【做法】从自己常年出差切入聊家乡，再到老人身体、家庭。
【结果】得知老家西北、父母高血压、独子读高三；后续逢节点问候，关系升“＋”。</t>
  </si>
  <si>
    <t>D（数字化/新能源或工程事业部负责人）多为省内成长的国企干部，重政治站位与省内人脉；借调研、省内行业活动茶叙循序引导七问，同省老乡/共同熟人多、比央企更易破冰。</t>
  </si>
  <si>
    <t>调研后 / 省内行业活动</t>
  </si>
  <si>
    <t>餐叙 · 茶室 · 考察途中</t>
  </si>
  <si>
    <t>主要动作：约调研或借省内能源活动 → 以同省/共同熟人破冰 → 自我经历铺垫 → 引导七问。
对客户的问题：
· 问籍贯：听口音是本省的吧？老家哪个市？（找老乡、共同熟人）
· 问经历：您是从子公司一步步上来的吧？在省内能源系统人脉广。
· 问子女/父母：孩子上学、老人身体这些，国企工作稳定也好照顾家里吧？
预判质疑：①国企干部讲分寸 → 不越界，多聊省内行业与共同熟人建立信任。</t>
  </si>
  <si>
    <t>【人物】某省能源集团 数字化部 刘部长
【时间】2025-09　【地点】省能源行业交流会茶歇
【做法】以同省与共同熟人破冰，聊到家乡与子女教育。
【结果】系本省人、孩子备战中考、重省内口碑；建立老乡信任，关系升“＋”。</t>
  </si>
  <si>
    <t>决策人常是老板/总经理，关系前置更重要；借商务宴请、企业参观、私人爱好（茶/高尔夫/车）切入；民营老板务实、爱聊事业与回报。</t>
  </si>
  <si>
    <t>D＝总经理/老板</t>
  </si>
  <si>
    <t>商务宴请 / 私下约见</t>
  </si>
  <si>
    <t>茶室 · 饭局 · 企业园区</t>
  </si>
  <si>
    <t>主要动作：商务宴请/回访 → 聊事业发展与扩张 → 自然过渡到家庭与个人理念。
对客户的问题：
· 问创业：X 总当年怎么进入新能源这行的？这些年扩张真快。
· 问家庭：这么拼，家里人支持吧？孩子接班还是有自己的打算？
· 问爱好/籍贯：X 总老家哪儿的？平时忙业务之余有什么爱好？
预判质疑：①“先说说能帮我省多少、多赚多少”→ 民营重 ROI，先给价值再聊感情。</t>
  </si>
  <si>
    <t>【人物】某民营新能源投资公司 张总（实控人）
【时间】2025-10　【地点】公司茶室
【做法】肯定扩张速度、聊创业不易，引出家庭与接班。
【结果】白手起家、独女海外留学、重个人行业口碑；以“助其打造标杆”作情感＋价值双钩。</t>
  </si>
  <si>
    <t>D 多为工程口出身（信息化/科技部、总工办），在项目部走访、工地考察、技术交流后餐叙切入；工程人重情义、健谈，话题可更直接。</t>
  </si>
  <si>
    <t>D（信息化/总工办负责人）</t>
  </si>
  <si>
    <t>工地考察后 / 项目交流后</t>
  </si>
  <si>
    <t>工地 · 项目部食堂 · 晚餐</t>
  </si>
  <si>
    <t>主要动作：随项目走访 → 工地边走边聊 → 晚餐建立氛围 → 以“工程人聚少离多”切入家庭。
对客户的问题：
· 问籍贯：总工哪儿人？干工程常年在外，一年能回几次家？
· 问配偶/子女：嫂子随项目跑还是在老家带孩子？孩子中考/高考了吧？
· 问经历：总工干了多少年工程了，从哪个局、哪个项目起步的？
预判质疑：①“私事就不聊了”→ 顺势聊工程经历与行业变迁，从职业经历侧面了解。</t>
  </si>
  <si>
    <t>【人物】某电建工程局 信息化部 李主任
【时间】2025-08　【地点】风电项目部
【做法】工地考察后晚餐，聊常年驻外不易引出家庭。
【结果】得知两个孩子、老大今年高考、爱人在总部机关；记下节点逢节问候。</t>
  </si>
  <si>
    <t>客户基本信息
(装机/在建项目/业务布局/数字化现状)</t>
  </si>
  <si>
    <t>案头研究为主、调研验证为辅：先查集团年报/官网/能源行业媒体，掌握装机结构与十四五目标，再在调研中补缺。</t>
  </si>
  <si>
    <t>D/U/R · 官网年报</t>
  </si>
  <si>
    <t>拜访前案头 + 日常调研</t>
  </si>
  <si>
    <t>线上 + 集团/二级单位</t>
  </si>
  <si>
    <t>主要动作：案头研究（光风储装机结构、十四五目标、在建项目清单、数字化转型规划）→ 调研中验证补缺。
对客户的问题：
· 集团十四五新能源装机目标多少？光伏/风电/储能占比大概什么结构？
· 今年在建和拟建项目多少个、分布哪些区域？
· 数字化转型现在主要推哪些系统/平台？哪块还比较薄弱？</t>
  </si>
  <si>
    <t>【人物】某发电集团 战略规划部 赵处
【做法】以“为贵集团做行业对标”为由请教装机与规划。
【结果】掌握十四五目标、在建项目数，发现投资与造价分散管理是薄弱环节。</t>
  </si>
  <si>
    <t>案头研究省国资委、集团官网、地方能源主管部门信息，掌握其装机结构、省内项目布局、是否省属纯新能源平台；再调研补缺。</t>
  </si>
  <si>
    <t>D/U/R · 官网/省国资委</t>
  </si>
  <si>
    <t>拜访前案头 + 调研</t>
  </si>
  <si>
    <t>线上 + 集团/子公司</t>
  </si>
  <si>
    <t>主要动作：研究其在本省装机与在建项目、集中式还是分布式为主、数字化进度 → 调研验证。
对客户的问题：
· 咱们集团在省内的新能源装机和在建项目大概什么规模？分布式占比高吗？
· 是省属纯新能源平台，还是多能源板块？
· 数字化集团层面在推哪些系统？</t>
  </si>
  <si>
    <t>【人物】某省新能源集团 规划部 主任
【结果】省属纯新能源平台、分布式增长快、数字化仅财务/OA，投资与成本无系统——切入“投资＋成本一体化”。</t>
  </si>
  <si>
    <t>关注投资体量、回报要求、扩张节奏、老板理念；信息多从老板/高管直接获取。</t>
  </si>
  <si>
    <t>D＝老板/高管</t>
  </si>
  <si>
    <t>商务交流</t>
  </si>
  <si>
    <t>办公室 · 饭局</t>
  </si>
  <si>
    <t>主要动作：了解年投资规模与目标装机 → 靠什么管控成本与回报 → 现用什么工具。
对客户的问题：
· X 总今明两年大概投多少、冲多少 GW？
· 投资测算和建设成本现在怎么把控？
· 用了什么系统，还是主要靠人和表格？</t>
  </si>
  <si>
    <t>【人物】某分布式光伏民企 孙总
【结果】三年冲 2GW 户用＋工商业分布式，项目分散、投资测算与成本失控、目前无系统——切入“投资管控＋成本管控组合拳”。</t>
  </si>
  <si>
    <t>关注在手 EPC 订单、年新增装机施工量、智慧工地/项目管理推进情况；“多项目复制”是核心卖点。</t>
  </si>
  <si>
    <t>D/U（工程管理部/项目部）</t>
  </si>
  <si>
    <t>调研拜访</t>
  </si>
  <si>
    <t>办公室 + 项目部</t>
  </si>
  <si>
    <t>主要动作：了解在手新能源 EPC 项目数与体量 → 项目管理痛点（进度/成本/分包）→ 是否已上项目管理系统。
对客户的问题：
· 咱们今年在建的新能源 EPC 项目大概多少个、多大体量？
· 项目上进度、成本、分包现在主要靠什么管？
· 集团/局层面有没有统一的工程项目管理平台？</t>
  </si>
  <si>
    <t>【人物】某电建公司 工程管理部 钱部长
【结果】年在建新能源 EPC 30+ 项目、成本进度靠 Excel＋人工，亟需统一管控平台——切入“多项目集约管控”。</t>
  </si>
  <si>
    <t>现有信息化 / 数字化建设情况</t>
  </si>
  <si>
    <t>从已建系统切入找“数据孤岛/未覆盖”缺口：财务、ERP、生产、协同等多已建，投资与工程造价常分散、未打通。</t>
  </si>
  <si>
    <t>TB/U（信息化部）</t>
  </si>
  <si>
    <t>调研/技术交流</t>
  </si>
  <si>
    <t>信息化部办公室</t>
  </si>
  <si>
    <t>主要动作：以技术交流名义梳理已建系统清单 → 找未覆盖或数据不通的环节 → 引出新建/升级需求。
对客户的问题：
· 投资、造价、工程管理这几块现在分别用什么系统？数据打通了吗？
· 项目从投资测算到结算，全过程数据能串起来吗？
· 哪个环节领导最不满意、最想改？</t>
  </si>
  <si>
    <t>【人物】某新能源公司 信息中心 周工
【结果】已上财务/ERP，但投资测算、造价、概算各自为政，集团要求“投资—建设—成本”一体化——精准切入。</t>
  </si>
  <si>
    <t>头部地方国企已建部分系统、腰尾部薄弱；找未覆盖环节，用央企/同级省国企标杆降低其决策风险。</t>
  </si>
  <si>
    <t>R/U（信息化部）/ C（外部顾问）</t>
  </si>
  <si>
    <t>调研 / 技术交流</t>
  </si>
  <si>
    <t>主要动作：梳理已建系统 → 找投资/造价/工程未打通处 → 以央企/先进省国企标杆激发。
对客户的问题：
· 投资测算、造价、工程这几块现在用什么？数据通吗？
· 对标央企和先进省国企，咱们数字化差在哪？
· 哪块领导最想先补？</t>
  </si>
  <si>
    <t>【人物】某省能投 信息中心 负责人
【结果】仅 OA/财务、投资与工程靠表格，集团要求对标央企建一体化平台——精准切入。</t>
  </si>
  <si>
    <t>多为“几乎空白或仅用 Excel”，机会在于从 0 到 1；强调轻量、快上线、见效快。</t>
  </si>
  <si>
    <t>TB/U（信息化负责人）</t>
  </si>
  <si>
    <t>办公室</t>
  </si>
  <si>
    <t>主要动作：确认现状（多为表格/无系统）→ 强调轻量化快速上线 → 用同类民营标杆案例激发。
对客户的问题：
· 现在投资测算、成本这些主要靠表格还是有系统？
· 数据散在各人手里，老板想看时方便吗？
· 看看同行 XX 上线后的效果，要不要也试一套？</t>
  </si>
  <si>
    <t>【人物】某分布式头部民企 信息化 郑经理
【结果】户用/工商业项目量大、全靠 Excel，老板要“一张图看清各项目投资与成本”——切入轻量化平台＋快速 POC。</t>
  </si>
  <si>
    <t>关注是否有项目级管控工具、BIM/智慧工地应用程度、是否能支撑投标加分与履约。</t>
  </si>
  <si>
    <t>TB/U（信息化/总工办）</t>
  </si>
  <si>
    <t>技术交流</t>
  </si>
  <si>
    <t>主要动作：了解现有项目管理/造价工具 → 评估覆盖深度 → 引出“多项目统一＋投标加分”需求。
对客户的问题：
· 项目管理、造价现在用什么？是单项目用还是局里统一？
· 投标时数字化能力能不能加分、有没有支撑材料？
· BIM/智慧工地推到什么程度了？</t>
  </si>
  <si>
    <t>【人物】某工程局 总工办 吴工
【结果】仅单项目零散用造价软件、无统一平台，投标缺数字化亮点——切入“平台＋投标背书”。</t>
  </si>
  <si>
    <t>数字化 / 项目资金投入情况</t>
  </si>
  <si>
    <t>资金口径多（信息化专项、技改、研发、计入工程概算）；与 D 或财务/规划口熟络后私下了解。</t>
  </si>
  <si>
    <t>D / 财务/规划处</t>
  </si>
  <si>
    <t>下班后 / 私下</t>
  </si>
  <si>
    <t>餐厅 · 茶室</t>
  </si>
  <si>
    <t>主要动作：聊集团数字化投入趋势 → 引到本项目资金口径与额度 → 问审批路径。
对客户的问题：
· 集团这两年数字化投入大概什么量级、走信息化专项还是技改？
· 咱这个项目的钱是单列预算，还是计入新能源项目概算？
· 大概什么额度区间？走哪个审批流程？</t>
  </si>
  <si>
    <t>【人物】某发电集团 财务部 冯处
【结果】信息化专项年度有盘子、本项目拟计入某基地工程概算，额度数百万级、需上投资委——明确了资金与审批路径。</t>
  </si>
  <si>
    <t>资金口径有信息化专项、自有资金、计入概算、地方专项；与 D 或财务私下了解，国企重预算合规。</t>
  </si>
  <si>
    <t>D / 财务部</t>
  </si>
  <si>
    <t>主要动作：聊集团数字化投入与省国资委要求 → 引到本项目资金口径与额度 → 问审批层级。
对客户的问题：
· 这块投入走信息化专项还是计入项目概算？大概额度？
· 省国资委对数字化投入有没有硬性要求/考核？
· 多大金额集团能定、多大要上会？</t>
  </si>
  <si>
    <t>【人物】某省能源集团 财务部 处长
【结果】信息化专项有盘子＋可计入概算、额度数百万、需上总经理办公会——明确资金与审批。</t>
  </si>
  <si>
    <t>老板一支笔，关键看 ROI 与回报周期；直接对老板讲“投入产出账”。</t>
  </si>
  <si>
    <t>D＝老板</t>
  </si>
  <si>
    <t>私下约见</t>
  </si>
  <si>
    <t>茶室 · 饭局</t>
  </si>
  <si>
    <t>主要动作：直接算投入产出账 → 明确预算区间与决策方式。
对客户的问题：
· X 总，这套投入大概 XX 万，按咱们体量预计 X 个月回本，您看这账划算吧？
· 这笔钱是今年预算里出，还是单独立项？
· 多大金额您能直接定、多大要上会？</t>
  </si>
  <si>
    <t>【人物】某民营投资商 张总
【结果】认可“X 个月回本”测算、当场定预算区间、百万内自己拍板——快速进入商务。</t>
  </si>
  <si>
    <t>区分“总部信息化专项”与“项目级成本列支”；多项目复制时资金更可能在总部。</t>
  </si>
  <si>
    <t>D / 财务</t>
  </si>
  <si>
    <t>调研/餐叙</t>
  </si>
  <si>
    <t>办公室 · 餐厅</t>
  </si>
  <si>
    <t>主要动作：判断资金在总部还是项目 → 了解额度与列支方式。
对客户的问题：
· 这套是局里统一出钱推，还是各项目自己列成本？
· 总部有没有数字化专项预算？今年大概多少？
· 项目级的话，单项目能列多少？</t>
  </si>
  <si>
    <t>【人物】某电建公司 财务部 陈经理
【结果】总部设数字化专项推统一平台、项目级另列实施费——锁定总部决策、项目落地双线。</t>
  </si>
  <si>
    <t>组织架构与 ADURC 角色及倾向性</t>
  </si>
  <si>
    <t>官网/年报查整体架构，调研补“项目归口＋ADURC＋倾向性”；央企角色多、需画清“总部—二级—项目”三层。</t>
  </si>
  <si>
    <t>D / R 多渠道</t>
  </si>
  <si>
    <t>日常持续</t>
  </si>
  <si>
    <t>线上 + 多场景</t>
  </si>
  <si>
    <t>主要动作：官网梳理领导分工与部门 → 调研确认本项目归口与 ADURC → 通过 R 验证关键人倾向性(+/=/-)。
对客户的问题：
· 这个项目是信息化部牵头还是业务部门牵头？最终谁拍板、谁批预算？
· 评标时一般哪些部门/领导参加？
· 据我了解 X 领导和 Y 处都很关注这事，他们倾向怎么样？</t>
  </si>
  <si>
    <t>【人物】某发电集团新能源公司 综合部 内线
【结果】厘清：分管副总(A)、信息化部长(D)、财务/工程为关联 TB、采购中心招采关键人；标注各人 +/=/?，发现财务处长态度存疑需公关。</t>
  </si>
  <si>
    <t>省国资委监管下“集团-子公司-项目”中等层级；画清 ADURC，并重点识别隐性影响人（董事长信任圈、省国资委/地方政府关系）。</t>
  </si>
  <si>
    <t>D / C 多渠道</t>
  </si>
  <si>
    <t>持续</t>
  </si>
  <si>
    <t>多场景</t>
  </si>
  <si>
    <t>主要动作：官网＋调研梳理集团与子公司架构 → 确认本项目归口与 ADURC → 通过 C（教练）识别董事长/总经理信任圈与省国资委关系。
对客户的问题：
· 这事数字化部牵头还是事业部？最终谁拍板、谁批预算？
· 评标一般哪些部门和领导参加？
· 董事长/总经理这边谁说得上话？</t>
  </si>
  <si>
    <t>【人物】某省能源集团 综合部 内线
【结果】厘清董事长(A,省管干部)、分管副总、数字化部长(D)、财务/工程(R/TB)、采购部(招采)；标注倾向，发现需打通分管副总。</t>
  </si>
  <si>
    <t>层级少、老板集权；重点确认“老板之外谁有话语权”，避免只搞定老板而被下面卡。</t>
  </si>
  <si>
    <t>D＝老板 / 高管</t>
  </si>
  <si>
    <t>主要动作：确认老板是否既是 A 又是 D → 找出真正影响老板的高管/顾问 → 标注其倾向。
对客户的问题：
· 这事是您直接定，还是要听听哪几位的意见？
· 公司里谁最懂数字化/最管成本，您比较信谁？
· 落地谁来牵头用？</t>
  </si>
  <si>
    <t>【人物】某民营投资商 副总
【结果】老板(A＝D)一锤定音，但财务副总与外部顾问意见举足轻重；锁定先做通副总与顾问，避免卡壳。</t>
  </si>
  <si>
    <t>区分“总部定标准、项目去落地”，需同时画总部决策层与项目部执行层两张图。</t>
  </si>
  <si>
    <t>D / R</t>
  </si>
  <si>
    <t>调研</t>
  </si>
  <si>
    <t>主要动作：画总部（信息化/工程/采购）＋项目部（经理/总工/商务）两层 → 标注谁定标准、谁推落地。
对客户的问题：
· 局里这事谁牵头、谁拍板？项目上谁负责用、谁说了算？
· 招采是物资部还是招标中心管？
· 哪位领导是真正的关键先生？</t>
  </si>
  <si>
    <t>【人物】某工程局 信息化部 内线
【结果】总部信息化部长(D)、分管副总(A)、物资部(招采)、项目经理(U/影响人)；明确“先搞定总部立项、再靠样板项目落地”。</t>
  </si>
  <si>
    <t>立项原因</t>
  </si>
  <si>
    <t>紧扣政策与考核：十四五数字化规划、国企改革深化提升、对标世界一流、双碳、降本增效、审计整改。</t>
  </si>
  <si>
    <t>D / 项目负责人</t>
  </si>
  <si>
    <t>工作时间</t>
  </si>
  <si>
    <t>主要动作：从政策与考核切入 → 印证本项目立项动因 → 顺势锚定我方价值点。
对客户的问题：
· 这个项目主要是响应集团十四五数字化规划，还是有降本增效/审计整改的硬考核？
· 上面对这块有没有明确的对标或验收要求？
· 立项是业务驱动还是合规驱动？</t>
  </si>
  <si>
    <t>【人物】某发电集团 信息化部 王部长
【结果】立项源于“集团数字化转型考核＋新能源投资管理粗放被审计点名”，目标是投资—造价一体化管控——价值点对齐。</t>
  </si>
  <si>
    <t>紧扣省国资委考核、做强省级能源平台、地方双碳保供、资产证券化/混改上市、降本增效。</t>
  </si>
  <si>
    <t>主要动作：从省国资委考核与平台战略切入 → 印证立项动因 → 锚定我方价值。
对客户的问题：
· 这个项目主要是响应省国资委数字化考核，还是为做强省级平台/资产证券化做规范？
· 是业务驱动还是合规/考核驱动？</t>
  </si>
  <si>
    <t>【人物】某省能投 数字化部 部长
【结果】立项源于“省国资委对标考核＋筹划资产证券化需规范投资与成本数据”——价值点对齐。</t>
  </si>
  <si>
    <t>紧扣扩张、回报管控、融资/上市合规、老板个人理念。</t>
  </si>
  <si>
    <t>私下</t>
  </si>
  <si>
    <t>茶室</t>
  </si>
  <si>
    <t>主要动作：摸清是“业务扩张要管得住”还是“融资上市要规范”或“老板理念” → 对应讲法。
对客户的问题：
· X 总上这套，是因为盘子大了管不过来，还是为融资/上市做规范？
· 您最想先解决哪个老大难？</t>
  </si>
  <si>
    <t>【人物】某民营投资商 张总
【结果】立项因“规模翻倍后投资与成本失控、且筹划融资需规范”——主打投资管控＋数据规范。</t>
  </si>
  <si>
    <t>紧扣项目精细化、降本增效、投标加分与履约能力提升。</t>
  </si>
  <si>
    <t>主要动作：确认是“总部战略推动”还是“项目痛点倒逼” → 对应不同价值主张。
对客户的问题：
· 这个平台是局里数字化战略要建，还是项目上成本/进度压力太大倒逼的？
· 投标时业主对数字化能力有没有明确加分要求？</t>
  </si>
  <si>
    <t>【人物】某工程局 工程管理部 钱部长
【结果】立项因“多个新能源 EPC 亏损预警＋投标缺数字化亮点”，目标统一管控＋投标背书。</t>
  </si>
  <si>
    <t>需求/方案阶段协助拟定规范、契合规划的项目名称，便于立项与上会。</t>
  </si>
  <si>
    <t>方案上报前</t>
  </si>
  <si>
    <t>主要动作：依采购内容＋集团规划口径，建议规范名称供客户审定。
对客户的问题：
· 这个项目报上去叫什么名字定了吗？要不要我按集团十四五口径帮您拟两个备选？</t>
  </si>
  <si>
    <t>【结果】协助命名为“XX 集团新能源项目投资与造价一体化管控平台建设项目”，获 D 认可，利于上会。</t>
  </si>
  <si>
    <t>协助拟定契合省国资委对标口径、体现“省级平台/标杆”的规范名称。</t>
  </si>
  <si>
    <t>主要动作：按省国资委口径建议规范名称供审定。
对客户的问题：
· 名字要不要突出“省级标杆/一体化”，方便对标汇报和上会？</t>
  </si>
  <si>
    <t>【结果】定名“XX 省能源集团新能源投资与造价一体化管控平台”，便于对标央企与上会。</t>
  </si>
  <si>
    <t>名称务实即可，重点别耽误进度；可一名多用。</t>
  </si>
  <si>
    <t>D＝老板/负责人</t>
  </si>
  <si>
    <t>商务确认</t>
  </si>
  <si>
    <t>线上/线下</t>
  </si>
  <si>
    <t>主要动作：快速确认，不纠结。
对客户的问题：
· 项目名就叫“XX 公司投资成本管控系统”行吗？定了我们就推进。</t>
  </si>
  <si>
    <t>【结果】当场敲定名称，直接进入商务，不拖节奏。</t>
  </si>
  <si>
    <t>名称体现“多项目/集约/智慧工程”属性，利于总部立项与复制。</t>
  </si>
  <si>
    <t>主要动作：建议体现平台级、可复制的名称。
对客户的问题：
· 名字要不要突出“局级统一”“多项目”这层意思，方便后续复制推广？</t>
  </si>
  <si>
    <t>【结果】定名“XX 工程局新能源工程数字化管控平台”，为后续多项目铺路。</t>
  </si>
  <si>
    <t>项目预算</t>
  </si>
  <si>
    <t>与 D 或财务/规划处了解；金额大、需走投资/预算审批，关注是否计入概算。</t>
  </si>
  <si>
    <t>D / 财务处</t>
  </si>
  <si>
    <t>主要动作：由专业规划话题切入 → 引到投入额度 → 明确预算科目与审批层级。
对客户的问题：
· 这块投入领导心里大概的盘子是多少？
· 走信息化专项还是计入项目概算？
· 这个额度是部门能定，还是要上投资委/党组会？
预判质疑：①“预算还没批”→ 帮其测算合理区间、提供同类项目投资参考，协助争取。</t>
  </si>
  <si>
    <t>【人物】某发电集团 财务部 冯处
【结果】预算约数百万、计入某基地概算、需上投资委——据此倒排时间与控标节奏。</t>
  </si>
  <si>
    <t>与 D 或财务了解；国企重预算合规，关注信息化专项 vs 计入概算、审批层级。</t>
  </si>
  <si>
    <t>主要动作：由平台战略切入 → 引到投入额度 → 明确科目与审批层级。
对客户的问题：
· 领导心里这块的盘子多少？走信息化专项还是计入概算？
· 这个额度部门能定，还是要上总经理办公会/党委会？
预判质疑：①预算没批 → 帮测算合理区间、提供央企/同级省国企投资参考，协助争取。</t>
  </si>
  <si>
    <t>【人物】某省能源集团 财务部 处长
【结果】预算数百万、计入某基地概算、需上总经理办公会——据此排控标节奏。</t>
  </si>
  <si>
    <t>老板一支笔，直接谈区间与回报。</t>
  </si>
  <si>
    <t>主要动作：用回报账锚定预算区间。
对客户的问题：
· X 总，这套大概 XX 万，按回报算很划算，您看预算在什么区间合适？
· 多大金额您直接定？</t>
  </si>
  <si>
    <t>【结果】当场圈定预算区间、百万内自定——快速推进。</t>
  </si>
  <si>
    <t>区分总部专项与项目成本列支；多项目复制时总部盘子更大。</t>
  </si>
  <si>
    <t>主要动作：判断资金层级 → 了解额度与列支。
对客户的问题：
· 这套是局里统一预算还是项目列成本？大概多少？
· 后续复制到其他项目，预算怎么安排？</t>
  </si>
  <si>
    <t>【结果】总部专项 X 百万先建平台、单项目另列实施费——锁定总部预算、规划复制。</t>
  </si>
  <si>
    <t>项目实施计划</t>
  </si>
  <si>
    <t>与 D 沟通，关注流程长、节点多（立项—概算—招标—实施—验收）；制造投产/考核紧迫感。</t>
  </si>
  <si>
    <t>工作时间/私下</t>
  </si>
  <si>
    <t>办公室 · 电话</t>
  </si>
  <si>
    <t>主要动作：了解各节点时间 → 用“投产/考核节点”倒逼实施紧迫。
对客户的问题：
· 从立项到招标、实施、验收，大概什么节奏？卡在哪个环节？
· 有没有必须赶上的投产或考核节点？我帮您倒排。</t>
  </si>
  <si>
    <t>【结果】明确需在年度考核前完成一期上线、招标须 Q3 挂网——倒排控标与交付计划。</t>
  </si>
  <si>
    <t>与 D 沟通，流程比央企短、比民企规范；用并网/考核节点制造紧迫。</t>
  </si>
  <si>
    <t>工作时间 / 私下</t>
  </si>
  <si>
    <t>主要动作：了解立项-预算-招标-实施-验收节点 → 用并网指标/省国资委考核节点倒逼。
对客户的问题：
· 从立项到招标实施大概什么节奏？卡在哪？
· 有没有必须赶上的并网或年度考核节点？我帮您倒排。</t>
  </si>
  <si>
    <t>【结果】需在年度考核与抢并网前一期上线、招标须 Q3 挂网——倒排控标与交付。</t>
  </si>
  <si>
    <t>要快：POC/试点快速见效，老板没耐心等长周期。</t>
  </si>
  <si>
    <t>商务沟通</t>
  </si>
  <si>
    <t>主要动作：给“快上线、快见效”路径。
对客户的问题：
· 咱们能不能先 2-3 周上个试点见效，再全面铺？</t>
  </si>
  <si>
    <t>【结果】定 3 周 POC＋1 月上线，老板满意快节奏。</t>
  </si>
  <si>
    <t>紧扣工程进度节点（开工/主体/并网），项目部对工期最敏感。</t>
  </si>
  <si>
    <t>D/U（项目部）</t>
  </si>
  <si>
    <t>项目部</t>
  </si>
  <si>
    <t>主要动作：对齐工程里程碑 → 让系统上线服务于工期。
对客户的问题：
· 平台希望在开工前还是主体阶段上线？跟并网节点怎么衔接？</t>
  </si>
  <si>
    <t>【结果】定为开工同步上线、服务于进度与成本管控，作为样板再复制。</t>
  </si>
  <si>
    <t>与 D/财务/规划私下了解；区分信息化专项、技改、研发、计入工程概算等口径，影响审批周期。</t>
  </si>
  <si>
    <t>D / 财务/规划</t>
  </si>
  <si>
    <t>主要动作：聊集团各类资金口径 → 锁定本项目用哪笔 → 推算到位时间。
对客户的问题：
· 这钱是信息化专项、技改，还是计入项目概算？
· 不同口径审批周期差挺多吧，咱这笔大概什么时候能到位？</t>
  </si>
  <si>
    <t>【人物】某发电集团 规划部 赵处
【结果】计入新能源基地工程概算（随概算批复到位），另有信息化专项可补——明确窗口期。</t>
  </si>
  <si>
    <t>区分信息化专项、自有资金、计入概算、地方财政专项/补贴；影响审批周期。</t>
  </si>
  <si>
    <t>D / 财务 / 规划</t>
  </si>
  <si>
    <t>主要动作：聊各类资金口径 → 锁定本项目用哪笔 → 推算到位时间。
对客户的问题：
· 这钱是信息化专项、自有资金，还是计入项目概算？有没有地方专项？
· 哪种到位更快？</t>
  </si>
  <si>
    <t>【人物】某省能投 规划部 处长
【结果】计入新能源基地概算＋信息化专项补充、另争取省级数字化专项补贴——明确窗口期。</t>
  </si>
  <si>
    <t>自有资金为主、决策灵活；关注现金流节奏与付款方式。</t>
  </si>
  <si>
    <t>D＝老板/财务</t>
  </si>
  <si>
    <t>主要动作：确认自有资金、谈付款节奏。
对客户的问题：
· 这笔走今年预算还是单独安排？付款能不能按上线节点分期？</t>
  </si>
  <si>
    <t>【结果】自有资金、按 POC/上线/验收分期付款——既推进项目又照顾客户现金流。</t>
  </si>
  <si>
    <t>区分总部信息化专项与项目成本列支，影响是“一次建、多项目复制”还是“单项目买”。</t>
  </si>
  <si>
    <t>主要动作：确认资金层级与到位方式。
对客户的问题：
· 是总部专项一次性建平台，还是各项目从成本里出？
· 复制到新项目时资金怎么走？</t>
  </si>
  <si>
    <t>【结果】总部专项建平台、项目成本出实施——确定先总部后复制的资金路径。</t>
  </si>
  <si>
    <t>项目排序</t>
  </si>
  <si>
    <t>排序常在投资/计划/信息化归口部门，需向归口或采购中心确认，必要时借外部力量打听。</t>
  </si>
  <si>
    <t>D / 计划/采购中心</t>
  </si>
  <si>
    <t>上报期</t>
  </si>
  <si>
    <t>主要动作：先问 D 项目在年度计划/项目库的排序 → 不清则到计划/采购中心确认 → 争取靠前。
对客户的问题：
· 咱这个项目在今年的盘子里排第几、确定今年做吗？
· 论证材料还差什么我来补，争取往前提一提？
预判质疑：①“还没排定/我不清楚”→ 转向计划处或采购中心确认，或借集成商打听。</t>
  </si>
  <si>
    <t>【人物】某发电集团 计划部 韩处
【结果】项目排二级单位年度第 2、确定今年执行；协助补论证材料争取提前。</t>
  </si>
  <si>
    <t>排序在集团计划/数字化或战略部；省国企对“对标考核/平台战略”相关项目优先级高。</t>
  </si>
  <si>
    <t>D / 计划·战略部</t>
  </si>
  <si>
    <t>主要动作：问 D 项目年度排序 → 不清则到计划/战略部确认 → 以“对标考核/平台标杆”争取靠前。
对客户的问题：
· 这个项目在今年集团盘子里排第几、确定今年做吗？
· 论证材料我来补，争取往前提？</t>
  </si>
  <si>
    <t>【人物】某省能源集团 计划部 处长
【结果】因纳入集团对标考核重点，排集团年度第 2、确定今年执行。</t>
  </si>
  <si>
    <t>老板说排第几就第几；确认老板重视度即可。</t>
  </si>
  <si>
    <t>主要动作：确认老板优先级。
对客户的问题：
· X 总，这事在您今年的重点里排得靠前吧？要不要先干起来？</t>
  </si>
  <si>
    <t>【结果】老板列为今年三件大事之一——快速推进无排队问题。</t>
  </si>
  <si>
    <t>排序看工程节点与总部统筹；项目级看工期，平台级看总部计划。</t>
  </si>
  <si>
    <t>D / 工程管理部</t>
  </si>
  <si>
    <t>主要动作：确认是跟某工程节点绑定还是总部统一排期。
对客户的问题：
· 这套是跟着哪个项目的工期走，还是局里统一排今年第几？</t>
  </si>
  <si>
    <t>【结果】绑定某重点风电项目工期、属局里今年重点——优先级高。</t>
  </si>
  <si>
    <t>招采事项
(竞标方/参数/评标规则/甲方代表/招标代理)</t>
  </si>
  <si>
    <t>走集团集采/电子招投标平台，合规严；与采购中心/招标代理/甲方代表分别公关，私下密谋评标策略。</t>
  </si>
  <si>
    <t>采购中心 / 招标代理 / 甲方代表</t>
  </si>
  <si>
    <t>招采阶段</t>
  </si>
  <si>
    <t>办公室 · 私下</t>
  </si>
  <si>
    <t>主要动作：确认采购方式与平台 → 摸竞标家数与对手 → 私下密谋招标参数与评标规则 → 锁定甲方代表。
对客户的问题：
· 这次走公开招标还是竞争性谈判？在集团哪个平台？
· 大概几家来投、有没有听说哪几家？
· 评分办法定了吗？哪些是硬门槛？甲方代表是谁？
预判质疑：①“招采的事不方便说”→ 强调帮其把需求写清楚、规避废标风险，从“帮忙”切入。</t>
  </si>
  <si>
    <t>【人物】某发电集团 采购中心 招标负责人
【结果】走集团平台公开招标、5 家投、与采购中心密谋技术参数与评分权重并落实——P2 得高分。</t>
  </si>
  <si>
    <t>国企走公开招标/竞谈/框架，多用省公共资源交易中心或省国企采购平台；合规严但流程比央企短；分别公关采购/招标代理/甲方代表，红线内密谋评标策略。</t>
  </si>
  <si>
    <t>采购/招标管理部 · 招标代理 · 甲方代表</t>
  </si>
  <si>
    <t>主要动作：确认采购方式与平台 → 摸竞标家数与对手 → 私下密谋参数与评分权重 → 锁定甲方代表。
对客户的问题：
· 这次走公开招标还是竞谈？在省公共资源交易中心还是集团平台？
· 几家来投、有听说哪几家？
· 评分办法定了吗？甲方代表是谁？
预判质疑：①招采不便说 → 以“帮把需求写规范、规避废标质疑”切入。</t>
  </si>
  <si>
    <t>【人物】某省能源集团 采购部 负责人
【结果】走省交易中心公开招标、5 家投、与采购部密谋技术参数与评分权重并落实——P2 得高分。</t>
  </si>
  <si>
    <t>方式灵活（谈判/邀标/直采）；与老板指定对接人敲定规则即可。</t>
  </si>
  <si>
    <t>采购/商务负责人</t>
  </si>
  <si>
    <t>主要动作：确认采购方式 → 与对接人/老板敲定参数。
对客户的问题：
· 这次是走谈判还是邀几家比一比？标准谁定？
· 按咱们聊的方案，参数就照这个来对吧？</t>
  </si>
  <si>
    <t>【结果】采用邀请谈判、按我方方案设定标准——基本锁定。</t>
  </si>
  <si>
    <t>物资部/招标中心主导；关注是否框架协议、能否多项目打包，甲方代表多为项目部。</t>
  </si>
  <si>
    <t>物资部/招标中心 / 项目代表</t>
  </si>
  <si>
    <t>主要动作：确认招采主体与方式 → 争取框架/打包 → 密谋参数与评标。
对客户的问题：
· 这次是单项目招还是局里框架采购？评标谁来定规则？
· 甲方代表是项目部还是物资部？</t>
  </si>
  <si>
    <t>【结果】争取到局级框架采购、与物资部敲定有利评分项——一次中标多项目复用。</t>
  </si>
  <si>
    <t>项目组成员</t>
  </si>
  <si>
    <t>与 D 或 R 确认参与论证/上会人员，提前识别每个人的角色与倾向。</t>
  </si>
  <si>
    <t>论证前</t>
  </si>
  <si>
    <t>主要动作：问清上会与论证人员名单 → 对应 ADURC → 标注倾向、安排公关。
对客户的问题：
· 这次方案论证/上会都有哪些部门和领导参加？
· 我提前把材料备齐，方便各位领导审阅。</t>
  </si>
  <si>
    <t>【结果】掌握上会名单（分管副总、财务、工程、采购、信息化），逐一标注倾向并排公关序。</t>
  </si>
  <si>
    <t>与 D/C 确认论证/上会人员，识别每人 ADURC 角色与倾向，注意省国资委派驻/外部专家。</t>
  </si>
  <si>
    <t>D / C</t>
  </si>
  <si>
    <t>主要动作：问清上会与论证名单 → 对应 ADURC → 标注倾向、排公关序。
对客户的问题：
· 这次论证/上会有哪些部门和领导？外部评标专家是省库的吗？
· 材料我提前备齐方便各位领导审阅。</t>
  </si>
  <si>
    <t>【结果】掌握上会名单（分管副总、财务、工程、数字化、采购＋省库专家），逐一标注倾向并排序公关。</t>
  </si>
  <si>
    <t>人少，确认老板＋关键高管＋实际使用人即可。</t>
  </si>
  <si>
    <t>主要动作：确认拍板人、关键意见高管、落地使用人。
对客户的问题：
· 除了您，这事还有谁要点头？落地谁来负责用？</t>
  </si>
  <si>
    <t>【结果】锁定老板拍板、财务副总把关、投资经理使用——三点全覆盖。</t>
  </si>
  <si>
    <t>区分总部评审组与项目部使用组，两头都要覆盖。</t>
  </si>
  <si>
    <t>D / 项目经理</t>
  </si>
  <si>
    <t>办公室/项目部</t>
  </si>
  <si>
    <t>主要动作：确认评审组＋项目使用骨干名单。
对客户的问题：
· 评审是总部哪几位？项目上谁主用、谁配合？</t>
  </si>
  <si>
    <t>【结果】明确总部评审 3 人＋项目部使用骨干 2 人，分别对接。</t>
  </si>
  <si>
    <t>行动宝典 · 关系加强（优势 P1–P4 · 决胜 1K · 价值 C2/C6）</t>
  </si>
  <si>
    <t>提升倾向性（建 + / 建 ☆）、摸清并解决 BI、密谋招采、搞定 A。按客户类型选行（四类）。</t>
  </si>
  <si>
    <t>判断决策链客户倾向性
(+ / = / -)</t>
  </si>
  <si>
    <t>关系加强</t>
  </si>
  <si>
    <t>用“是否愿提供 + 级反馈”做压力测试；多渠道交叉验证，避免被表面客气误导。</t>
  </si>
  <si>
    <t>各关键人</t>
  </si>
  <si>
    <t>主要动作：探寻对方是否愿提供“+”反馈（主动给信息/帮约人）→ 能则进一步测“☆”（顶压力公开支持）→ 不能则查是否关注其他友商。
做法/话术：
·（测 +）处长，这方案我想先听您真实意见，哪不合适您直说。
·（测 ☆）上会若有人质疑，您方便帮着说句话吗？
预判：口头客气却不出手 → 判 =/?，继续公关。</t>
  </si>
  <si>
    <t>【人物】某发电集团 财务处长
【结果】口头认可但不愿表态 → 判“=”，列入重点公关名单。</t>
  </si>
  <si>
    <t>用“是否愿提供 + 反馈”测试；省国企同省人脉密，可借共同熟人/省内圈子交叉验证。</t>
  </si>
  <si>
    <t>主要动作：测对方是否愿主动给信息/帮约人 → 能则测 ☆（顶省国资委/上级压力公开支持）→ 不能则查是否倾向友商。
话术：（测 +）X 部长，方案您给点真实意见；（测 ☆）上会有人质疑，您方便帮说句话吗？</t>
  </si>
  <si>
    <t>【人物】某省能源集团 财务处长
【结果】口头认可不愿表态 → 判“=”，列重点公关。</t>
  </si>
  <si>
    <t>老板倾向性≈项目生死；直接看老板是否给资源、给时间、给承诺。</t>
  </si>
  <si>
    <t>主要动作：观察老板是否亲自参与、给预算口径、给时间表 → 判倾向。
话术：X 总，这事您要是认可，咱们就定个时间表干起来？</t>
  </si>
  <si>
    <t>【结果】老板亲自定时间表、给预算区间 → 判“＋”趋“☆”。</t>
  </si>
  <si>
    <t>工程人直爽，倾向性较易判断；用“愿不愿帮你推进”验证。</t>
  </si>
  <si>
    <t>项目部/办公室</t>
  </si>
  <si>
    <t>主要动作：观察其是否主动帮约人、给数据、推流程 → 据此定 +/=/-。
话术：总工，这事您觉得靠谱的话，能帮我引荐下分管领导吗？</t>
  </si>
  <si>
    <t>【结果】项目总工主动引荐分管副总 → 判“＋”。</t>
  </si>
  <si>
    <t>P1/P3</t>
  </si>
  <si>
    <t>提升倾向性 · 建立加号(+)</t>
  </si>
  <si>
    <t>通过 FORM 互动拉近感情并穿插验证点；主动帮其解决一两件分内难事建立信任。</t>
  </si>
  <si>
    <t>D / 关键人</t>
  </si>
  <si>
    <t>线上+线下</t>
  </si>
  <si>
    <t>主要动作：基于家庭七问深化感情 → 互动中植入我方价值验证点 → 帮客户成事（整理对标材料、协调试用、做汇报图）。
话术：处长，上次说的行业对标我整理了份材料给您参考；您汇报要用的数据我帮您做成图。
预判：不愿欠人情 → 以“举手之劳/共同成事”切入。</t>
  </si>
  <si>
    <t>【结果】帮信息化部长准备集团数字化汇报材料，关系由“=”升“＋”。</t>
  </si>
  <si>
    <t>通过 FORM 互动＋同省人脉拉近；帮其解决省国资委对标汇报、数据材料等分内难事建信任。</t>
  </si>
  <si>
    <t>线上 + 线下</t>
  </si>
  <si>
    <t>主要动作：深化感情＋植入价值点＋帮成事（对标材料、汇报图、央企标杆引荐）。
话术：X 部长，省国资委对标要用的数据我帮您做成图；想看央企同类标杆我帮您对接参观。</t>
  </si>
  <si>
    <t>【结果】帮数字化部长准备省国资委对标汇报、引荐央企标杆参观，关系升“＋”。</t>
  </si>
  <si>
    <t>用 ROI 与标杆案例 + 满足老板个人价值（行业口碑）建 +。</t>
  </si>
  <si>
    <t>商务交往</t>
  </si>
  <si>
    <t>茶室/饭局</t>
  </si>
  <si>
    <t>主要动作：给老板算清投入产出 → 讲同体量标杆 → 点出“助您成为区域标杆”。
话术：X 总，同样体量的 XX 公司上线后省了 X%，您做成了也是行业头一份。</t>
  </si>
  <si>
    <t>【结果】老板被“标杆＋ROI”打动，主动推进 → “＋”。</t>
  </si>
  <si>
    <t>帮项目部解决实际痛点（出数据、现场救火）快速建 +。</t>
  </si>
  <si>
    <t>项目推进中</t>
  </si>
  <si>
    <t>主要动作：在进度/成本/结算上帮项目部解决一件真问题 → 建立专业信任。
话术：这个月成本数据我帮你们拉一版对比，看看超在哪。</t>
  </si>
  <si>
    <t>【结果】帮项目部理清成本超支点，商务经理力挺我方 → “＋”。</t>
  </si>
  <si>
    <t>P3/1K</t>
  </si>
  <si>
    <t>提升倾向性 · 建立星号(☆)（压力测试）</t>
  </si>
  <si>
    <t>探 BI → 给 UCV → 深度互动 → 压力测试落实；☆＝顶住压力公开“排他性”支持。</t>
  </si>
  <si>
    <t>D / A</t>
  </si>
  <si>
    <t>关键节点</t>
  </si>
  <si>
    <t>私下+公开</t>
  </si>
  <si>
    <t>主要动作：用事实证明法（已落地成果说话）或假设证明法（满足≥2条：指导下一步/定商务技术要求/排他推荐/定采购形式/指导报价/帮解决 BI）。
话术：处长，上会若有人提别家，您能不能从“一体化和可对标”角度坚持咱这套？</t>
  </si>
  <si>
    <t>【结果】分管副总在评标质疑中公开力挺、坚持其设定的技术要求 → “☆”。</t>
  </si>
  <si>
    <t>探 BI → 给 UCV → 深度互动 → 压力测试；☆＝顶住省国资委/集团压力公开排他支持。</t>
  </si>
  <si>
    <t>私下 + 公开</t>
  </si>
  <si>
    <t>主要动作：事实证明法（已落地成果）或假设证明法（满足 ≥2 条）。
话术：X 部长，上会若有人提别家，您能否从“对标央企、一体化、省级标杆”坚持咱这套？</t>
  </si>
  <si>
    <t>【结果】分管副总在评审中公开力挺、坚持其设定技术要求 → “☆”。</t>
  </si>
  <si>
    <t>老板的 ☆ 最直接——亲自拍板、排他采用、对外站台。</t>
  </si>
  <si>
    <t>决策点</t>
  </si>
  <si>
    <t>主要动作：以 ROI＋标杆促老板公开拍板、排他选用。
话术：X 总，定了咱就排他推进，我们配合您把这事做成标杆。</t>
  </si>
  <si>
    <t>【结果】老板拍板排他选用、并愿做案例对外宣传 → “☆”。</t>
  </si>
  <si>
    <t>以“项目降本实效＋投标背书”作为顶压力支持的底气。</t>
  </si>
  <si>
    <t>评审/招采</t>
  </si>
  <si>
    <t>会议+私下</t>
  </si>
  <si>
    <t>主要动作：用样板项目实测降本数据，支撑其在局里公开力挺。
话术：样板项目省了 X%，您在会上完全可以拿这个数据说话。</t>
  </si>
  <si>
    <t>【结果】信息化部长拿样板数据在局会上排他推荐 → “☆”。</t>
  </si>
  <si>
    <t>摸清拍板人 D 的燃眉之急 (BI)</t>
  </si>
  <si>
    <t>从“家庭七问 / 业绩压力 / 升迁需求”三条线挖掘 D 的私人且紧急的痛点。</t>
  </si>
  <si>
    <t>D</t>
  </si>
  <si>
    <t>餐叙/茶室</t>
  </si>
  <si>
    <t>常见 BI：数字化转型考核排名、降本增效硬 KPI、按期投产、审计巡视整改、个人晋升（科→处→部门总）、安全质量责任。
话术：处长，今年集团数字化考核压力大吧？这块要是能做出可对标的成果，对您评先进/晋升也是加分项。</t>
  </si>
  <si>
    <t>【结果】王部长 BI＝集团数字化考核靠后＋个人晋升关口——锁定“帮你做出标杆成果”。</t>
  </si>
  <si>
    <t>从家庭七问/业绩压力/升迁三线挖；省国企 D 的 BI 偏：省国资委对标考核、做强平台政绩、按期并网、资产证券化/混改任务、个人在省内系统的晋升与口碑。</t>
  </si>
  <si>
    <t>餐叙 · 茶室</t>
  </si>
  <si>
    <t>常见 BI：省国资委对标考核排名、平台做强政绩、抢并网、资产证券化合规、个人晋升（处级→部门总→子公司领导）。
话术：X 部长，省国资委今年对标压力不小吧？做出能对标央企的成果，对您和集团都是亮点。</t>
  </si>
  <si>
    <t>【结果】刘部长 BI＝对标考核靠后＋个人晋升关口——锁定“帮做出省级标杆成果”。</t>
  </si>
  <si>
    <t>BI 多为投资风险焦虑、成本失控、融资上市规范、个人行业地位。</t>
  </si>
  <si>
    <t>常见 BI：投资打水漂的焦虑、成本失控、融资/上市需规范、老板个人行业话语权。
话术：X 总最担心的是投出去的钱回报不及预期，还是成本管不住？</t>
  </si>
  <si>
    <t>【结果】张总 BI＝规模翻倍后投资与成本失控＋筹划融资——锁定“管得住＋数据规范”。</t>
  </si>
  <si>
    <t>BI 多与项目盈亏、工期履约、投标、个人在局里业绩相关。</t>
  </si>
  <si>
    <t>餐叙</t>
  </si>
  <si>
    <t>常见 BI：项目亏损预警、工期/履约压力、投标缺数字化亮点、个人业绩与晋升。
话术：这几个项目成本压得紧吧？要是能拿出降本数据，投标和年终都好交代。</t>
  </si>
  <si>
    <t>【结果】钱部长 BI＝多项目亏损预警＋投标短板——锁定“降本＋投标背书”。</t>
  </si>
  <si>
    <t>解决 D 的 BI · 提供 UCV 独特价值</t>
  </si>
  <si>
    <t>先让客户认可 BI → 给 UCV 建议 → 认可后给具体解决方法；UCV＝对手给不了的“可交账成果”。</t>
  </si>
  <si>
    <t>方案阶段</t>
  </si>
  <si>
    <t>主要动作：把“投资—造价—成本一体化、可对标可考核”包装成 D 的政绩与晋升资本（对手只卖软件，我方给“可向集团交账的标杆成果”）。
话术：这套不只是上系统，是帮您把降本和投资管控做成集团能对标、能上报的成果。</t>
  </si>
  <si>
    <t>【结果】为王部长设计“数字化标杆＋降本数据”汇报，助其考核进位——C6 得 5 分。</t>
  </si>
  <si>
    <t>先认可 BI → 给 UCV → 给方法；UCV＝对手给不了的“对标央企、省级标杆、可向省国资委交账”的成果。</t>
  </si>
  <si>
    <t>主要动作：把“投资-造价-成本一体化、可对标央企、可向省国资委汇报”包装成 D 的政绩与平台战略资本。
话术：这套不只是上系统，是帮您把降本和投资管控做成省里能对标央企、能上报的标杆。</t>
  </si>
  <si>
    <t>【结果】为刘部长设计“省级标杆＋降本数据＋对标央企”汇报，助考核进位——C6=5。</t>
  </si>
  <si>
    <t>UCV＝看得见的 ROI ＋ 助老板打造区域标杆/行业话语权。</t>
  </si>
  <si>
    <t>主要动作：给明确回报测算＋“行业标杆”身份价值。
话术：X 总，X 个月回本、还能让您在圈里第一个吃螃蟹，这是别家给不了的。</t>
  </si>
  <si>
    <t>【结果】以 ROI＋标杆身份解决张总 BI——C6 得 5 分。</t>
  </si>
  <si>
    <t>UCV＝既降本又能作投标背书的双价值。</t>
  </si>
  <si>
    <t>主要动作：用样板项目证明“降本＋可复制＋投标加分”三重价值。
话术：做成样板后，既省了项目的钱，又能写进投标，多个项目复用。</t>
  </si>
  <si>
    <t>【结果】以样板降本数据＋投标材料解决钱部长 BI——C6 得 5 分。</t>
  </si>
  <si>
    <t>招采关键人公关（采购/招标代理/甲方代表）</t>
  </si>
  <si>
    <t>走集团集采/电子招投标平台、合规严；对采购中心、招标代理、甲方代表分别公关，私下密谋评标策略（红线内操作）。</t>
  </si>
  <si>
    <t>采购中心/招标代理/甲方代表</t>
  </si>
  <si>
    <t>办公室+私下</t>
  </si>
  <si>
    <t>主要动作：从“帮把需求写规范、规避废标风险”切入采购中心 → 与甲方代表对齐技术倾向 → 私下密谋参数与评分权重。
话术：把需求和评分写清楚能少很多废标和质疑，我帮您把技术要求理一版，您把把关。</t>
  </si>
  <si>
    <t>【结果】与采购中心密谋评分权重、与甲方代表敲定技术门槛——P2 接近满分。</t>
  </si>
  <si>
    <t>走省交易中心/集团采购平台；对采购/招标管理部、招标代理、甲方代表分别公关，红线内密谋评标策略；省国企合规严但人脉作用大。</t>
  </si>
  <si>
    <t>办公室 + 私下</t>
  </si>
  <si>
    <t>主要动作：从“帮把需求写规范、规避废标”切入采购部 → 与甲方代表对齐技术倾向 → 私下密谋参数与评分权重。
话术：把需求和评分写清楚能少很多质疑，我帮您把技术要求理一版您把关。</t>
  </si>
  <si>
    <t>【结果】与采购部密谋评分权重、与甲方代表敲定技术门槛——P2 接近满分。</t>
  </si>
  <si>
    <t>主要动作：确认采购方式 → 与对接人/老板敲定参数与标准。
话术：这次走邀请谈判吧，标准就按咱们聊的方案来，省时间。</t>
  </si>
  <si>
    <t>物资部/招标中心＋项目代表主导；争取框架协议或多项目打包。</t>
  </si>
  <si>
    <t>物资部/招标中心/项目代表</t>
  </si>
  <si>
    <t>主要动作：确认招采主体与方式 → 争取框架/打包 → 密谋参数与评标。
话术：这次能不能走局级框架，一次定标多项目复用？评分上突出一体化和案例分。</t>
  </si>
  <si>
    <t>【结果】争取到局级框架采购、敲定有利评分项——一标多用。</t>
  </si>
  <si>
    <t>与拍板人 D 密谋 / 共同策划</t>
  </si>
  <si>
    <t>满足“+”判定任意 2 条以上：共同策划预算 / 提供内幕 / 共同制定招标文件 / 给对手情报 / 引荐 1K 或 4P / 帮控进度。</t>
  </si>
  <si>
    <t>项目全程</t>
  </si>
  <si>
    <t>主要动作：与 D 共同编制项目预算与招标文件 → 互通项目内幕与对手动向 → 请其引荐分管副总(1K)与关键影响人(4P)。
话术：预算和招标要求咱们一起把把关，论证材料我来备；分管领导那边方便的话您引荐一下。</t>
  </si>
  <si>
    <t>【结果】与 D 共同编制预算与招标文件、获其引荐副总——P3 升 +/☆，并打通 1K。</t>
  </si>
  <si>
    <t>满足 + 判定 ≥2 条：共同策划预算/给内幕/共定招标文件/给对手情报/引荐 1K 或 4P/帮控进度；省国企 D 乐于借外力做对标政绩。</t>
  </si>
  <si>
    <t>主要动作：与 D 共编预算与招标文件 → 互通内幕与对手动向 → 请其引荐分管副总(1K)与关键影响人。
话术：预算和招标要求咱一起把关，论证材料我来备；分管领导方便您引荐下。</t>
  </si>
  <si>
    <t>【结果】与 D 共编预算与招标文件、获引荐分管副总——P3 升 +/☆ 并打通 1K。</t>
  </si>
  <si>
    <t>直接与老板共谋方案、预算与采购方式，绑定利益。</t>
  </si>
  <si>
    <t>商务全程</t>
  </si>
  <si>
    <t>茶室/办公室</t>
  </si>
  <si>
    <t>主要动作：与老板共定方案、预算与采购方式，必要时绑定服务/对赌。
话术：X 总，咱们把方案和预算一次谈定，采购方式也按最省事的来。</t>
  </si>
  <si>
    <t>【结果】与老板共定方案与邀标方式——P3 趋 ☆。</t>
  </si>
  <si>
    <t>以“帮项目降本＋帮局里立标杆”绑定 D，共同策划平台方案与招采。</t>
  </si>
  <si>
    <t>主要动作：共同设计“先样板后复制”路径与招采方案。
话术：咱们先把这个项目做成局里样板，方案和招标我陪您一起搭。</t>
  </si>
  <si>
    <t>【结果】与信息化部长共谋样板＋复制路线——P3 得分。</t>
  </si>
  <si>
    <t>锁定并发展关键影响人</t>
  </si>
  <si>
    <t>关键影响人＝在项目组、非 A/D、对 A/D 有影响或是招采关键人；前期找“能影响决策”的，后期找“能推动定标”的。</t>
  </si>
  <si>
    <t>关键影响人</t>
  </si>
  <si>
    <t>全程</t>
  </si>
  <si>
    <t>主要动作：识别 D/A 最信任的人（规划/技术/秘书口）→ 重点发展为内线 → 由其向 D/A 吹风、传递我方价值。
话术：这事还得多听 X 科长的，我多跟他对接，有什么也请他帮着把关。</t>
  </si>
  <si>
    <t>【结果】锁定 D 最信任的规划科长为关键影响人，由其向 D 与副总吹风——P4 得分。</t>
  </si>
  <si>
    <t>关键影响人＝在项目组、非 A/D、对 A/D 有影响或招采关键人；省国企尤其关注董事长/总经理信任圈与省国资委关系人。</t>
  </si>
  <si>
    <t>主要动作：识别 D/A 最信任的人（规划/战略/秘书口、省国资委关系人）→ 发展为内线 → 由其吹风传价值。
话术：这事还得多听 X 处长的，我多对接也请他把关。</t>
  </si>
  <si>
    <t>【结果】锁定总经理信任的战略部处长为关键影响人，由其向 D 与总经理吹风——P4 得分。</t>
  </si>
  <si>
    <t>锁定真正影响老板的高管/外部顾问，避免只搞定老板被下面卡。</t>
  </si>
  <si>
    <t>财务副总/外部顾问</t>
  </si>
  <si>
    <t>主要动作：发展老板最信任的财务副总或外部顾问为我方支持者。
话术：李总您是把成本关的，方案咱们多碰碰，您认可了我才好往下推。</t>
  </si>
  <si>
    <t>【结果】财务副总＋外部顾问转为支持——P4 得分，决策更稳。</t>
  </si>
  <si>
    <t>前期锁总工办/技术骨干，后期锁物资/招标对接人。</t>
  </si>
  <si>
    <t>主要动作：发展总工办技术骨干（影响决策）＋招标对接人（推动定标）。</t>
  </si>
  <si>
    <t>【结果】技术骨干背书方案、招标对接人推动定标——P4 得分。</t>
  </si>
  <si>
    <t>促成高层互访 · 搞定批准人 A</t>
  </si>
  <si>
    <t>申请我方高层/集团专家与客户分管副总/集团领导互访；借峰会、战略签约、样板参观促成；A 的“+”看公开表态、纳入规划、指定试点。</t>
  </si>
  <si>
    <t>A（分管副总/集团领导）</t>
  </si>
  <si>
    <t>战略节点</t>
  </si>
  <si>
    <t>峰会/总部/样板</t>
  </si>
  <si>
    <t>主要动作：申请高层领导/集团专家资源 → 借行业峰会或战略签约促成高层互访 → 推动纳入战略合作、设立试点示范。
话术：想请我们集团分管领导和专家来拜访贵集团领导，就数字化转型做个战略对接。</t>
  </si>
  <si>
    <t>【结果】促成我方高管拜访集团分管副总，达成数字化战略合作意向、A 公开表态支持——1K 得 ☆/＋。</t>
  </si>
  <si>
    <t>申请我方高层/集团专家与集团董事长/总经理及省国资委/能源局互访；省国企 A 重政治站位与省级战略，借战略合作、省级标杆示范促成。</t>
  </si>
  <si>
    <t>A（董事长/总经理）</t>
  </si>
  <si>
    <t>总部/省级活动/样板</t>
  </si>
  <si>
    <t>主要动作：以“助力做强省级能源平台＋对标央企”为题，促我方高层与集团董事长/总经理战略会谈，争取纳入战略合作、设省级标杆试点。
话术：想请我们高层与专家来拜访董事长，就做强省级数字化平台做战略对接。</t>
  </si>
  <si>
    <t>【结果】促成我方高管拜访集团董事长、达成战略合作意向、A 公开表态支持——1K 得 ☆/＋。</t>
  </si>
  <si>
    <t>直接搞定老板：我方高层带 ROI 与标杆方案登门，老板拍板即赢。</t>
  </si>
  <si>
    <t>A＝老板</t>
  </si>
  <si>
    <t>企业/样板</t>
  </si>
  <si>
    <t>主要动作：安排我方高层＋方案专家登门，带 ROI 测算与标杆参观，促老板拍板。
话术：X 总，我们高层和专家想专程来一趟，带上回报测算，陪您把这事定了。</t>
  </si>
  <si>
    <t>【结果】高层登门＋样板参观，老板当场拍板——1K 得 ☆。</t>
  </si>
  <si>
    <t>推动局领导与我方高层就“多项目数字化/智慧工程”战略对接。</t>
  </si>
  <si>
    <t>A（局分管领导）</t>
  </si>
  <si>
    <t>总部/峰会</t>
  </si>
  <si>
    <t>主要动作：以“多项目集约＋投标竞争力”为题促成高层战略会谈。</t>
  </si>
  <si>
    <t>【结果】局分管领导与我方高层达成多项目数字化合作框架——1K 得分。</t>
  </si>
  <si>
    <t>FORM 表的应用（能源版）· 关系破冰与 BI 挖掘</t>
  </si>
  <si>
    <t>FORM＝Family 家庭 / Occupation 事业 / Recreation 休闲 / Money·Motivation 金钱与梦想</t>
  </si>
  <si>
    <t>总体原则</t>
  </si>
  <si>
    <t>大胆假设，小心求证。家庭 7 问＝籍贯 · 年纪 · 生日 · 毕业院校 · 配偶 · 子女 · 父母。先用公开信息与观察“假设”，再在互动中“求证”，全程让客户舒服、不越界。</t>
  </si>
  <si>
    <t>FORM 维度</t>
  </si>
  <si>
    <t>20–35 岁（立足期）</t>
  </si>
  <si>
    <t>35–45 岁（上升期）</t>
  </si>
  <si>
    <t>45–55 岁（当家期）</t>
  </si>
  <si>
    <t>55 岁＋（沉淀期）</t>
  </si>
  <si>
    <t>籍贯 / 口音</t>
  </si>
  <si>
    <t>听口音找共鸣：老乡、特产、名人、母校所在城</t>
  </si>
  <si>
    <t>聊家乡发展、回乡频率</t>
  </si>
  <si>
    <t>在外打拼、是否回乡养老</t>
  </si>
  <si>
    <t>退休是否回老家、落叶归根</t>
  </si>
  <si>
    <t>生日</t>
  </si>
  <si>
    <t>顺势问阴历阳历、星座；记下做关怀</t>
  </si>
  <si>
    <t>给本人或家属过生日做运营</t>
  </si>
  <si>
    <t>投其所好（茶/酒/收藏）</t>
  </si>
  <si>
    <t>健康养生、家庭团聚</t>
  </si>
  <si>
    <t>毕业院校</t>
  </si>
  <si>
    <t>校友、导师、专业认同</t>
  </si>
  <si>
    <t>行业人脉、师门资源</t>
  </si>
  <si>
    <t>门生故旧、行业圈层</t>
  </si>
  <si>
    <t>名誉教授、行业传承</t>
  </si>
  <si>
    <t>配偶</t>
  </si>
  <si>
    <t>另一半工作、是否双职工/异地</t>
  </si>
  <si>
    <t>家庭分工、育儿压力</t>
  </si>
  <si>
    <t>配偶事业/陪伴、家庭重心</t>
  </si>
  <si>
    <t>老来相伴、共同养老</t>
  </si>
  <si>
    <t>子女</t>
  </si>
  <si>
    <t>是否有娃、幼儿照顾</t>
  </si>
  <si>
    <t>中考/高考、补课、择校</t>
  </si>
  <si>
    <t>升学/就业/出国、找对象</t>
  </si>
  <si>
    <t>催婚催生、孙辈照顾</t>
  </si>
  <si>
    <t>父母</t>
  </si>
  <si>
    <t>父母健康、是否同住</t>
  </si>
  <si>
    <t>异地尽孝、赡养安排</t>
  </si>
  <si>
    <t>父母高龄照护、就医</t>
  </si>
  <si>
    <t>祭扫、家族事务</t>
  </si>
  <si>
    <t>职业经历（国企序列）</t>
  </si>
  <si>
    <t>转正定级、入党、考职称(助工→工程师)、争取重点项目/挂职</t>
  </si>
  <si>
    <t>晋升科长/处长、评高级工程师、进后备干部</t>
  </si>
  <si>
    <t>晋升部门总/二级副职、教授级高工、政绩与对标</t>
  </si>
  <si>
    <t>稳中求进、传帮带、退休待遇、专家库返聘</t>
  </si>
  <si>
    <t>职业经历（民营序列）</t>
  </si>
  <si>
    <t>立足、做业绩、争取骨干/期权</t>
  </si>
  <si>
    <t>晋升经理/总监、独当一面、个人品牌</t>
  </si>
  <si>
    <t>高管/合伙人、行业话语权、财富与口碑</t>
  </si>
  <si>
    <t>二代接班、转投资人/顾问、稳健传承</t>
  </si>
  <si>
    <t>爱好</t>
  </si>
  <si>
    <t>美食、运动、数码、车</t>
  </si>
  <si>
    <t>旅游、健身、茶酒</t>
  </si>
  <si>
    <t>收藏、字画、高尔夫、子女教育</t>
  </si>
  <si>
    <t>养生、书法、含饴弄孙</t>
  </si>
  <si>
    <t>深层志趣 / 价值观</t>
  </si>
  <si>
    <t>成长与认可、想做出点名堂</t>
  </si>
  <si>
    <t>事业成就、家庭责任</t>
  </si>
  <si>
    <t>行业地位、政绩/口碑、传承</t>
  </si>
  <si>
    <t>人生意义、家族与名誉</t>
  </si>
  <si>
    <t>用法</t>
  </si>
  <si>
    <t>① 先按客户年龄段定位本列，快速找到可聊话题；② 聊的过程中识别其“燃眉之急 BI”（子女升学、父母养老、个人晋升、业绩考核、投资回报等）；③ 把 BI 记入「⑤打分表 C2」，并到「⑦关系加强」找解决 BI、提供 UCV 的动作。国企序列重政绩与晋升，民营序列重财富与口碑——投其所好。</t>
  </si>
  <si>
    <t>竞争策略 741（按趋赢力百分比选策略）</t>
  </si>
  <si>
    <t>依据「⑤打分表」的趋赢力总分定态势，再选策略、定打法。</t>
  </si>
  <si>
    <t>趋赢力区间</t>
  </si>
  <si>
    <t>可选策略</t>
  </si>
  <si>
    <t>数字能源场景下的具体打法</t>
  </si>
  <si>
    <t>≥ 75%</t>
  </si>
  <si>
    <t>绝对优势 · 可承诺</t>
  </si>
  <si>
    <t>直接赢单</t>
  </si>
  <si>
    <t>已建立 ☆/1K，锁定结果：控制节奏、加速签约、绑定框架/多项目复制、防止节外生枝。</t>
  </si>
  <si>
    <t>50% – 75%</t>
  </si>
  <si>
    <t>相对优势 · 可争取</t>
  </si>
  <si>
    <t>制定规则 / 加速进度 / 总包</t>
  </si>
  <si>
    <t>主导技术参数与评分标准（造价深度、平台一体化、案例分）；推动尽快挂网招标；以联合体/总集成绑定设计院或集成商，扩大优势。</t>
  </si>
  <si>
    <t>25% – 50%</t>
  </si>
  <si>
    <t>相对劣势 · 可参与</t>
  </si>
  <si>
    <t>改变规则(A→B / A→A±1) / 减速拖延 / 拆包</t>
  </si>
  <si>
    <t>改变决策标准（把客户从“比价格”引到“比一体化管控/降本实效”）；增减评分项；拖到对我有利时点；把对手强项模块拆出单独招，自己保主战场。（结合 C4 采购周期判断是否值得投入）</t>
  </si>
  <si>
    <t>&lt; 25%</t>
  </si>
  <si>
    <t>绝对劣势 · 重新复盘</t>
  </si>
  <si>
    <t>重新回炉</t>
  </si>
  <si>
    <t>评估放弃或养单；优先补 C1/C2 与 D/A 关系；争取下一期或其他项目；必要时陪标了解对手。</t>
  </si>
  <si>
    <t>741 打分速记：优势项记 7、中性记 4、劣势记 1；或直接用「⑤打分表」的趋赢力百分比映射上表区间，综合判定态势与策略。8 种策略：绝对优势→直接赢单；相对优势→制定规则/加速进度/总包；相对劣势→改变规则/减速拖延/拆包；绝对劣势→重新回炉。</t>
  </si>
  <si>
    <t>行动计划模板（按得分缺口排兵布阵 · 可填写）</t>
  </si>
  <si>
    <t>针对「⑤打分表」中分低/为负的项，到「⑥⑦行动宝典」选动作话术，逐条排期、按周复盘。黄色为填写项。</t>
  </si>
  <si>
    <t>得分缺口 / 目标
(关联 C/P/1K)</t>
  </si>
  <si>
    <t>场景</t>
  </si>
  <si>
    <t>人物
(ADURC)</t>
  </si>
  <si>
    <t>客户
类型</t>
  </si>
  <si>
    <t>手段及方法（话术要点）</t>
  </si>
  <si>
    <t>目标及评价</t>
  </si>
  <si>
    <t>完成时间</t>
  </si>
  <si>
    <t>负责人</t>
  </si>
  <si>
    <t>总结 / 复盘</t>
  </si>
  <si>
    <t>例</t>
  </si>
  <si>
    <t>C2/C6：搞定王部长 BI</t>
  </si>
  <si>
    <t>私下餐叙</t>
  </si>
  <si>
    <t>关系加强·提供 UCV</t>
  </si>
  <si>
    <t>①央企</t>
  </si>
  <si>
    <t>以“可对标降本成果助考核晋升”给 UCV，先认可 BI 再给方案</t>
  </si>
  <si>
    <t>D 升至 ☆、C6=5</t>
  </si>
  <si>
    <t>6/15 前</t>
  </si>
  <si>
    <t>张三</t>
  </si>
  <si>
    <t>已约饭，待反馈</t>
  </si>
  <si>
    <t>变更记录</t>
  </si>
  <si>
    <t>版本演进与维护建议</t>
  </si>
  <si>
    <t>变更日期</t>
  </si>
  <si>
    <t>版本号</t>
  </si>
  <si>
    <t>主要更新内容</t>
  </si>
  <si>
    <t>发布者</t>
  </si>
  <si>
    <t>备注</t>
  </si>
  <si>
    <t>v1.0</t>
  </si>
  <si>
    <t>数字能源业务部本地化定制版首次发布。基于教育BU「G64111 v2.1」与「GDU行动计划 v2.1 行动宝典」，方法论同源于销售罗盘九问：
① 按“五大六小央企能源集团 / 央国企电力建设集团 / 地方·民营能源投资建设企业”三类客户分别定制组织结构与 ADURC 角色映射；
② G64111 评分标准全面替换为数字能源（投资管控 / 造价成本 / EPC 工程管理）场景；
③ 新增“可填写·自动计算”趋赢力打分表（自动判态势、荐策略）；
④ 行动宝典“信息收集 + 关系加强”按三类客户给出完整话术与能源行业示范案例；
⑤ 本地化 FORM 表（职业经历适配国企/民营晋升序列）；新增竞争策略 741 与行动计划模板。</t>
  </si>
  <si>
    <t>LG</t>
  </si>
  <si>
    <t>首发</t>
  </si>
  <si>
    <t>v1.1</t>
  </si>
  <si>
    <r>
      <t xml:space="preserve">v1.1 </t>
    </r>
    <r>
      <rPr>
        <sz val="9.5"/>
        <color rgb="FF333333"/>
        <rFont val="宋体-简"/>
        <charset val="134"/>
      </rPr>
      <t>更新（数字能源业务部</t>
    </r>
    <r>
      <rPr>
        <sz val="9.5"/>
        <color rgb="FF333333"/>
        <rFont val="Calibri"/>
        <charset val="134"/>
      </rPr>
      <t xml:space="preserve"> · </t>
    </r>
    <r>
      <rPr>
        <sz val="9.5"/>
        <color rgb="FF333333"/>
        <rFont val="宋体-简"/>
        <charset val="134"/>
      </rPr>
      <t>由</t>
    </r>
    <r>
      <rPr>
        <sz val="9.5"/>
        <color rgb="FF333333"/>
        <rFont val="Calibri"/>
        <charset val="134"/>
      </rPr>
      <t xml:space="preserve"> LG </t>
    </r>
    <r>
      <rPr>
        <sz val="9.5"/>
        <color rgb="FF333333"/>
        <rFont val="宋体-简"/>
        <charset val="134"/>
      </rPr>
      <t>修订认证）：</t>
    </r>
    <r>
      <rPr>
        <sz val="9.5"/>
        <color rgb="FF333333"/>
        <rFont val="Calibri"/>
        <charset val="134"/>
      </rPr>
      <t xml:space="preserve">
</t>
    </r>
    <r>
      <rPr>
        <sz val="9.5"/>
        <color rgb="FF333333"/>
        <rFont val="宋体-简"/>
        <charset val="134"/>
      </rPr>
      <t>①</t>
    </r>
    <r>
      <rPr>
        <sz val="9.5"/>
        <color rgb="FF333333"/>
        <rFont val="Calibri"/>
        <charset val="134"/>
      </rPr>
      <t xml:space="preserve"> </t>
    </r>
    <r>
      <rPr>
        <sz val="9.5"/>
        <color rgb="FF333333"/>
        <rFont val="宋体-简"/>
        <charset val="134"/>
      </rPr>
      <t>角色模型固化为</t>
    </r>
    <r>
      <rPr>
        <sz val="9.5"/>
        <color rgb="FF333333"/>
        <rFont val="Calibri"/>
        <charset val="134"/>
      </rPr>
      <t xml:space="preserve"> ADURC</t>
    </r>
    <r>
      <rPr>
        <sz val="9.5"/>
        <color rgb="FF333333"/>
        <rFont val="宋体-简"/>
        <charset val="134"/>
      </rPr>
      <t>：</t>
    </r>
    <r>
      <rPr>
        <sz val="9.5"/>
        <color rgb="FF333333"/>
        <rFont val="Calibri"/>
        <charset val="134"/>
      </rPr>
      <t xml:space="preserve">A </t>
    </r>
    <r>
      <rPr>
        <sz val="9.5"/>
        <color rgb="FF333333"/>
        <rFont val="宋体-简"/>
        <charset val="134"/>
      </rPr>
      <t>批准人</t>
    </r>
    <r>
      <rPr>
        <sz val="9.5"/>
        <color rgb="FF333333"/>
        <rFont val="Calibri"/>
        <charset val="134"/>
      </rPr>
      <t xml:space="preserve"> / D </t>
    </r>
    <r>
      <rPr>
        <sz val="9.5"/>
        <color rgb="FF333333"/>
        <rFont val="宋体-简"/>
        <charset val="134"/>
      </rPr>
      <t>拍板人</t>
    </r>
    <r>
      <rPr>
        <sz val="9.5"/>
        <color rgb="FF333333"/>
        <rFont val="Calibri"/>
        <charset val="134"/>
      </rPr>
      <t xml:space="preserve"> / U </t>
    </r>
    <r>
      <rPr>
        <sz val="9.5"/>
        <color rgb="FF333333"/>
        <rFont val="宋体-简"/>
        <charset val="134"/>
      </rPr>
      <t>使用者</t>
    </r>
    <r>
      <rPr>
        <sz val="9.5"/>
        <color rgb="FF333333"/>
        <rFont val="Calibri"/>
        <charset val="134"/>
      </rPr>
      <t xml:space="preserve"> / R </t>
    </r>
    <r>
      <rPr>
        <sz val="9.5"/>
        <color rgb="FF333333"/>
        <rFont val="宋体-简"/>
        <charset val="134"/>
      </rPr>
      <t>影响者</t>
    </r>
    <r>
      <rPr>
        <sz val="9.5"/>
        <color rgb="FF333333"/>
        <rFont val="Calibri"/>
        <charset val="134"/>
      </rPr>
      <t>·</t>
    </r>
    <r>
      <rPr>
        <sz val="9.5"/>
        <color rgb="FF333333"/>
        <rFont val="宋体-简"/>
        <charset val="134"/>
      </rPr>
      <t>技术把关</t>
    </r>
    <r>
      <rPr>
        <sz val="9.5"/>
        <color rgb="FF333333"/>
        <rFont val="Calibri"/>
        <charset val="134"/>
      </rPr>
      <t xml:space="preserve">(TB) / C </t>
    </r>
    <r>
      <rPr>
        <sz val="9.5"/>
        <color rgb="FF333333"/>
        <rFont val="宋体-简"/>
        <charset val="134"/>
      </rPr>
      <t>教练</t>
    </r>
    <r>
      <rPr>
        <sz val="9.5"/>
        <color rgb="FF333333"/>
        <rFont val="Calibri"/>
        <charset val="134"/>
      </rPr>
      <t>(Coach)</t>
    </r>
    <r>
      <rPr>
        <sz val="9.5"/>
        <color rgb="FF333333"/>
        <rFont val="宋体-简"/>
        <charset val="134"/>
      </rPr>
      <t>，全表统一（含修订表</t>
    </r>
    <r>
      <rPr>
        <sz val="9.5"/>
        <color rgb="FF333333"/>
        <rFont val="Calibri"/>
        <charset val="134"/>
      </rPr>
      <t xml:space="preserve">1-5 </t>
    </r>
    <r>
      <rPr>
        <sz val="9.5"/>
        <color rgb="FF333333"/>
        <rFont val="宋体-简"/>
        <charset val="134"/>
      </rPr>
      <t>中</t>
    </r>
    <r>
      <rPr>
        <sz val="9.5"/>
        <color rgb="FF333333"/>
        <rFont val="Calibri"/>
        <charset val="134"/>
      </rPr>
      <t xml:space="preserve"> ADUR </t>
    </r>
    <r>
      <rPr>
        <sz val="9.5"/>
        <color rgb="FF333333"/>
        <rFont val="宋体-简"/>
        <charset val="134"/>
      </rPr>
      <t>旧称及表</t>
    </r>
    <r>
      <rPr>
        <sz val="9.5"/>
        <color rgb="FF333333"/>
        <rFont val="Calibri"/>
        <charset val="134"/>
      </rPr>
      <t xml:space="preserve">5 FORM </t>
    </r>
    <r>
      <rPr>
        <sz val="9.5"/>
        <color rgb="FF333333"/>
        <rFont val="宋体-简"/>
        <charset val="134"/>
      </rPr>
      <t>表错误）；</t>
    </r>
    <r>
      <rPr>
        <sz val="9.5"/>
        <color rgb="FF333333"/>
        <rFont val="Calibri"/>
        <charset val="134"/>
      </rPr>
      <t xml:space="preserve">
</t>
    </r>
    <r>
      <rPr>
        <sz val="9.5"/>
        <color rgb="FF333333"/>
        <rFont val="宋体-简"/>
        <charset val="134"/>
      </rPr>
      <t>②</t>
    </r>
    <r>
      <rPr>
        <sz val="9.5"/>
        <color rgb="FF333333"/>
        <rFont val="Calibri"/>
        <charset val="134"/>
      </rPr>
      <t xml:space="preserve"> </t>
    </r>
    <r>
      <rPr>
        <sz val="9.5"/>
        <color rgb="FF333333"/>
        <rFont val="宋体-简"/>
        <charset val="134"/>
      </rPr>
      <t>客户分类由</t>
    </r>
    <r>
      <rPr>
        <sz val="9.5"/>
        <color rgb="FF333333"/>
        <rFont val="Calibri"/>
        <charset val="134"/>
      </rPr>
      <t xml:space="preserve"> 3 </t>
    </r>
    <r>
      <rPr>
        <sz val="9.5"/>
        <color rgb="FF333333"/>
        <rFont val="宋体-简"/>
        <charset val="134"/>
      </rPr>
      <t>类调整为</t>
    </r>
    <r>
      <rPr>
        <sz val="9.5"/>
        <color rgb="FF333333"/>
        <rFont val="Calibri"/>
        <charset val="134"/>
      </rPr>
      <t xml:space="preserve"> 4 </t>
    </r>
    <r>
      <rPr>
        <sz val="9.5"/>
        <color rgb="FF333333"/>
        <rFont val="宋体-简"/>
        <charset val="134"/>
      </rPr>
      <t>类，对齐市场格局：①</t>
    </r>
    <r>
      <rPr>
        <sz val="9.5"/>
        <color rgb="FF333333"/>
        <rFont val="Calibri"/>
        <charset val="134"/>
      </rPr>
      <t xml:space="preserve"> </t>
    </r>
    <r>
      <rPr>
        <sz val="9.5"/>
        <color rgb="FF333333"/>
        <rFont val="宋体-简"/>
        <charset val="134"/>
      </rPr>
      <t>央企发电集团（五大六小）</t>
    </r>
    <r>
      <rPr>
        <sz val="9.5"/>
        <color rgb="FF333333"/>
        <rFont val="Calibri"/>
        <charset val="134"/>
      </rPr>
      <t xml:space="preserve">/ </t>
    </r>
    <r>
      <rPr>
        <sz val="9.5"/>
        <color rgb="FF333333"/>
        <rFont val="宋体-简"/>
        <charset val="134"/>
      </rPr>
      <t>②</t>
    </r>
    <r>
      <rPr>
        <sz val="9.5"/>
        <color rgb="FF333333"/>
        <rFont val="Calibri"/>
        <charset val="134"/>
      </rPr>
      <t xml:space="preserve"> </t>
    </r>
    <r>
      <rPr>
        <sz val="9.5"/>
        <color rgb="FF333333"/>
        <rFont val="宋体-简"/>
        <charset val="134"/>
      </rPr>
      <t>地方能源国企</t>
    </r>
    <r>
      <rPr>
        <sz val="9.5"/>
        <color rgb="FF333333"/>
        <rFont val="Calibri"/>
        <charset val="134"/>
      </rPr>
      <t xml:space="preserve"> / </t>
    </r>
    <r>
      <rPr>
        <sz val="9.5"/>
        <color rgb="FF333333"/>
        <rFont val="宋体-简"/>
        <charset val="134"/>
      </rPr>
      <t>③</t>
    </r>
    <r>
      <rPr>
        <sz val="9.5"/>
        <color rgb="FF333333"/>
        <rFont val="Calibri"/>
        <charset val="134"/>
      </rPr>
      <t xml:space="preserve"> </t>
    </r>
    <r>
      <rPr>
        <sz val="9.5"/>
        <color rgb="FF333333"/>
        <rFont val="宋体-简"/>
        <charset val="134"/>
      </rPr>
      <t>分布式头部民企</t>
    </r>
    <r>
      <rPr>
        <sz val="9.5"/>
        <color rgb="FF333333"/>
        <rFont val="Calibri"/>
        <charset val="134"/>
      </rPr>
      <t xml:space="preserve"> / </t>
    </r>
    <r>
      <rPr>
        <sz val="9.5"/>
        <color rgb="FF333333"/>
        <rFont val="宋体-简"/>
        <charset val="134"/>
      </rPr>
      <t>④</t>
    </r>
    <r>
      <rPr>
        <sz val="9.5"/>
        <color rgb="FF333333"/>
        <rFont val="Calibri"/>
        <charset val="134"/>
      </rPr>
      <t xml:space="preserve"> EPC </t>
    </r>
    <r>
      <rPr>
        <sz val="9.5"/>
        <color rgb="FF333333"/>
        <rFont val="宋体-简"/>
        <charset val="134"/>
      </rPr>
      <t>总承包商；</t>
    </r>
    <r>
      <rPr>
        <sz val="9.5"/>
        <color rgb="FF333333"/>
        <rFont val="Calibri"/>
        <charset val="134"/>
      </rPr>
      <t xml:space="preserve">
</t>
    </r>
    <r>
      <rPr>
        <sz val="9.5"/>
        <color rgb="FF333333"/>
        <rFont val="宋体-简"/>
        <charset val="134"/>
      </rPr>
      <t>③</t>
    </r>
    <r>
      <rPr>
        <sz val="9.5"/>
        <color rgb="FF333333"/>
        <rFont val="Calibri"/>
        <charset val="134"/>
      </rPr>
      <t xml:space="preserve"> </t>
    </r>
    <r>
      <rPr>
        <sz val="9.5"/>
        <color rgb="FF333333"/>
        <rFont val="宋体-简"/>
        <charset val="134"/>
      </rPr>
      <t>新增并完善「地方能源国企」客户画像（表</t>
    </r>
    <r>
      <rPr>
        <sz val="9.5"/>
        <color rgb="FF333333"/>
        <rFont val="Calibri"/>
        <charset val="134"/>
      </rPr>
      <t xml:space="preserve">3 </t>
    </r>
    <r>
      <rPr>
        <sz val="9.5"/>
        <color rgb="FF333333"/>
        <rFont val="宋体-简"/>
        <charset val="134"/>
      </rPr>
      <t>组织与角色映射）及其在「⑥信息收集</t>
    </r>
    <r>
      <rPr>
        <sz val="9.5"/>
        <color rgb="FF333333"/>
        <rFont val="Calibri"/>
        <charset val="134"/>
      </rPr>
      <t xml:space="preserve"> / </t>
    </r>
    <r>
      <rPr>
        <sz val="9.5"/>
        <color rgb="FF333333"/>
        <rFont val="宋体-简"/>
        <charset val="134"/>
      </rPr>
      <t>⑦关系加强」中的完整话术与示范案例；</t>
    </r>
    <r>
      <rPr>
        <sz val="9.5"/>
        <color rgb="FF333333"/>
        <rFont val="Calibri"/>
        <charset val="134"/>
      </rPr>
      <t xml:space="preserve">
</t>
    </r>
    <r>
      <rPr>
        <sz val="9.5"/>
        <color rgb="FF333333"/>
        <rFont val="宋体-简"/>
        <charset val="134"/>
      </rPr>
      <t>④</t>
    </r>
    <r>
      <rPr>
        <sz val="9.5"/>
        <color rgb="FF333333"/>
        <rFont val="Calibri"/>
        <charset val="134"/>
      </rPr>
      <t xml:space="preserve"> </t>
    </r>
    <r>
      <rPr>
        <sz val="9.5"/>
        <color rgb="FF333333"/>
        <rFont val="宋体-简"/>
        <charset val="134"/>
      </rPr>
      <t>表</t>
    </r>
    <r>
      <rPr>
        <sz val="9.5"/>
        <color rgb="FF333333"/>
        <rFont val="Calibri"/>
        <charset val="134"/>
      </rPr>
      <t xml:space="preserve">6 / </t>
    </r>
    <r>
      <rPr>
        <sz val="9.5"/>
        <color rgb="FF333333"/>
        <rFont val="宋体-简"/>
        <charset val="134"/>
      </rPr>
      <t>表</t>
    </r>
    <r>
      <rPr>
        <sz val="9.5"/>
        <color rgb="FF333333"/>
        <rFont val="Calibri"/>
        <charset val="134"/>
      </rPr>
      <t xml:space="preserve">7 </t>
    </r>
    <r>
      <rPr>
        <sz val="9.5"/>
        <color rgb="FF333333"/>
        <rFont val="宋体-简"/>
        <charset val="134"/>
      </rPr>
      <t>由</t>
    </r>
    <r>
      <rPr>
        <sz val="9.5"/>
        <color rgb="FF333333"/>
        <rFont val="Calibri"/>
        <charset val="134"/>
      </rPr>
      <t xml:space="preserve"> 3 </t>
    </r>
    <r>
      <rPr>
        <sz val="9.5"/>
        <color rgb="FF333333"/>
        <rFont val="宋体-简"/>
        <charset val="134"/>
      </rPr>
      <t>类扩展为</t>
    </r>
    <r>
      <rPr>
        <sz val="9.5"/>
        <color rgb="FF333333"/>
        <rFont val="Calibri"/>
        <charset val="134"/>
      </rPr>
      <t xml:space="preserve"> 4 </t>
    </r>
    <r>
      <rPr>
        <sz val="9.5"/>
        <color rgb="FF333333"/>
        <rFont val="宋体-简"/>
        <charset val="134"/>
      </rPr>
      <t>类客户分别定制，「③</t>
    </r>
    <r>
      <rPr>
        <sz val="9.5"/>
        <color rgb="FF333333"/>
        <rFont val="Calibri"/>
        <charset val="134"/>
      </rPr>
      <t xml:space="preserve"> </t>
    </r>
    <r>
      <rPr>
        <sz val="9.5"/>
        <color rgb="FF333333"/>
        <rFont val="宋体-简"/>
        <charset val="134"/>
      </rPr>
      <t>分布式头部民企」沿用原民营话术并轻度调整。</t>
    </r>
  </si>
  <si>
    <t>迭代</t>
  </si>
  <si>
    <t>维护建议</t>
  </si>
  <si>
    <t>建议每季度迭代一次：把一线打出的好话术、真实赢单/丢单案例回灌到「⑥⑦行动宝典」；新增客户子类型时在「③组织与角色」补列；评分标准如随集团采购政策变化及时更新「④诊断表」。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</si>
</sst>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87">
    <font>
      <sz val="11"/>
      <color theme="1"/>
      <name val="Calibri"/>
      <charset val="1"/>
    </font>
    <font>
      <b/>
      <sz val="16"/>
      <color rgb="FFFFFFFF"/>
      <name val="DejaVu Sans"/>
      <charset val="134"/>
    </font>
    <font>
      <sz val="10"/>
      <color rgb="FF595959"/>
      <name val="DejaVu Sans"/>
      <charset val="134"/>
    </font>
    <font>
      <b/>
      <sz val="10.5"/>
      <color rgb="FFFFFFFF"/>
      <name val="DejaVu Sans"/>
      <charset val="134"/>
    </font>
    <font>
      <sz val="9.5"/>
      <color rgb="FF333333"/>
      <name val="Calibri"/>
      <charset val="1"/>
    </font>
    <font>
      <b/>
      <sz val="9.5"/>
      <color rgb="FF1F4E79"/>
      <name val="微软雅黑"/>
      <charset val="1"/>
    </font>
    <font>
      <sz val="9.5"/>
      <color rgb="FF333333"/>
      <name val="DejaVu Sans"/>
      <charset val="134"/>
    </font>
    <font>
      <sz val="9.5"/>
      <color rgb="FF333333"/>
      <name val="微软雅黑"/>
      <charset val="1"/>
    </font>
    <font>
      <sz val="9.5"/>
      <color rgb="FF333333"/>
      <name val="Calibri"/>
      <charset val="134"/>
    </font>
    <font>
      <sz val="9.5"/>
      <color rgb="FF0000FF"/>
      <name val="微软雅黑"/>
      <charset val="1"/>
    </font>
    <font>
      <b/>
      <sz val="10"/>
      <color rgb="FFFFFFFF"/>
      <name val="DejaVu Sans"/>
      <charset val="134"/>
    </font>
    <font>
      <sz val="9"/>
      <color rgb="FF595959"/>
      <name val="DejaVu Sans"/>
      <charset val="134"/>
    </font>
    <font>
      <b/>
      <sz val="9.5"/>
      <color rgb="FFFFFFFF"/>
      <name val="DejaVu Sans"/>
      <charset val="134"/>
    </font>
    <font>
      <i/>
      <sz val="9"/>
      <color rgb="FF808080"/>
      <name val="DejaVu Sans"/>
      <charset val="134"/>
    </font>
    <font>
      <i/>
      <sz val="9"/>
      <color rgb="FF808080"/>
      <name val="微软雅黑"/>
      <charset val="1"/>
    </font>
    <font>
      <b/>
      <sz val="11"/>
      <color rgb="FF1F4E79"/>
      <name val="微软雅黑"/>
      <charset val="1"/>
    </font>
    <font>
      <b/>
      <sz val="10"/>
      <color rgb="FF333333"/>
      <name val="DejaVu Sans"/>
      <charset val="134"/>
    </font>
    <font>
      <sz val="9"/>
      <color rgb="FF595959"/>
      <name val="微软雅黑"/>
      <charset val="1"/>
    </font>
    <font>
      <b/>
      <sz val="16"/>
      <color rgb="FFFFFFFF"/>
      <name val="微软雅黑"/>
      <charset val="1"/>
    </font>
    <font>
      <sz val="10"/>
      <color rgb="FF595959"/>
      <name val="微软雅黑"/>
      <charset val="1"/>
    </font>
    <font>
      <b/>
      <sz val="10"/>
      <color rgb="FFFFFFFF"/>
      <name val="微软雅黑"/>
      <charset val="1"/>
    </font>
    <font>
      <b/>
      <sz val="9.5"/>
      <color rgb="FF333333"/>
      <name val="DejaVu Sans"/>
      <charset val="134"/>
    </font>
    <font>
      <sz val="9"/>
      <color rgb="FF333333"/>
      <name val="DejaVu Sans"/>
      <charset val="134"/>
    </font>
    <font>
      <b/>
      <sz val="9.5"/>
      <color rgb="FFBF8F00"/>
      <name val="DejaVu Sans"/>
      <charset val="134"/>
    </font>
    <font>
      <b/>
      <sz val="16"/>
      <color rgb="FFFFFFFF"/>
      <name val="微软雅黑"/>
      <charset val="134"/>
    </font>
    <font>
      <sz val="10"/>
      <color rgb="FF595959"/>
      <name val="微软雅黑"/>
      <charset val="134"/>
    </font>
    <font>
      <b/>
      <sz val="9.5"/>
      <color rgb="FFFFFFFF"/>
      <name val="微软雅黑"/>
      <charset val="134"/>
    </font>
    <font>
      <b/>
      <sz val="10"/>
      <color rgb="FF1F4E79"/>
      <name val="微软雅黑"/>
      <charset val="134"/>
    </font>
    <font>
      <b/>
      <sz val="9.5"/>
      <color rgb="FF333333"/>
      <name val="微软雅黑"/>
      <charset val="134"/>
    </font>
    <font>
      <b/>
      <sz val="9"/>
      <color rgb="FFFFFFFF"/>
      <name val="微软雅黑"/>
      <charset val="134"/>
    </font>
    <font>
      <sz val="9"/>
      <color rgb="FF333333"/>
      <name val="微软雅黑"/>
      <charset val="134"/>
    </font>
    <font>
      <b/>
      <sz val="9"/>
      <color rgb="FFC00000"/>
      <name val="微软雅黑"/>
      <charset val="134"/>
    </font>
    <font>
      <sz val="8.5"/>
      <color rgb="FF595959"/>
      <name val="微软雅黑"/>
      <charset val="134"/>
    </font>
    <font>
      <b/>
      <sz val="10"/>
      <color rgb="FF1F4E79"/>
      <name val="DejaVu Sans"/>
      <charset val="134"/>
    </font>
    <font>
      <b/>
      <sz val="11"/>
      <color rgb="FF0000FF"/>
      <name val="微软雅黑"/>
      <charset val="1"/>
    </font>
    <font>
      <b/>
      <sz val="10"/>
      <color rgb="FF1F4E79"/>
      <name val="微软雅黑"/>
      <charset val="1"/>
    </font>
    <font>
      <sz val="10"/>
      <color rgb="FF404040"/>
      <name val="微软雅黑"/>
      <charset val="1"/>
    </font>
    <font>
      <b/>
      <sz val="9.5"/>
      <color rgb="FF0000FF"/>
      <name val="微软雅黑"/>
      <charset val="1"/>
    </font>
    <font>
      <b/>
      <sz val="10"/>
      <color rgb="FF404040"/>
      <name val="微软雅黑"/>
      <charset val="1"/>
    </font>
    <font>
      <b/>
      <sz val="11"/>
      <color rgb="FF000000"/>
      <name val="微软雅黑"/>
      <charset val="1"/>
    </font>
    <font>
      <b/>
      <sz val="12"/>
      <color rgb="FFFFFFFF"/>
      <name val="DejaVu Sans"/>
      <charset val="134"/>
    </font>
    <font>
      <b/>
      <sz val="12"/>
      <color rgb="FFFFFFFF"/>
      <name val="微软雅黑"/>
      <charset val="1"/>
    </font>
    <font>
      <b/>
      <sz val="14"/>
      <color rgb="FFFFFF00"/>
      <name val="微软雅黑"/>
      <charset val="1"/>
    </font>
    <font>
      <sz val="9"/>
      <color rgb="FFFFFFFF"/>
      <name val="DejaVu Sans"/>
      <charset val="134"/>
    </font>
    <font>
      <b/>
      <sz val="11"/>
      <color rgb="FF1F4E79"/>
      <name val="DejaVu Sans"/>
      <charset val="134"/>
    </font>
    <font>
      <b/>
      <sz val="12"/>
      <color rgb="FF000000"/>
      <name val="微软雅黑"/>
      <charset val="1"/>
    </font>
    <font>
      <b/>
      <sz val="12"/>
      <color rgb="FF000000"/>
      <name val="DejaVu Sans"/>
      <charset val="134"/>
    </font>
    <font>
      <b/>
      <sz val="11"/>
      <color rgb="FFFFFFFF"/>
      <name val="微软雅黑"/>
      <charset val="1"/>
    </font>
    <font>
      <sz val="9"/>
      <color rgb="FF333333"/>
      <name val="微软雅黑"/>
      <charset val="1"/>
    </font>
    <font>
      <sz val="9"/>
      <color rgb="FFC00000"/>
      <name val="DejaVu Sans"/>
      <charset val="134"/>
    </font>
    <font>
      <b/>
      <sz val="11"/>
      <color rgb="FF548235"/>
      <name val="微软雅黑"/>
      <charset val="1"/>
    </font>
    <font>
      <sz val="9"/>
      <color rgb="FFC00000"/>
      <name val="微软雅黑"/>
      <charset val="1"/>
    </font>
    <font>
      <b/>
      <sz val="10"/>
      <color rgb="FF333333"/>
      <name val="微软雅黑"/>
      <charset val="1"/>
    </font>
    <font>
      <b/>
      <sz val="11"/>
      <color rgb="FFFFFFFF"/>
      <name val="DejaVu Sans"/>
      <charset val="134"/>
    </font>
    <font>
      <b/>
      <sz val="10"/>
      <color rgb="FF404040"/>
      <name val="DejaVu Sans"/>
      <charset val="134"/>
    </font>
    <font>
      <b/>
      <sz val="12"/>
      <color rgb="FF1F4E79"/>
      <name val="微软雅黑"/>
      <charset val="1"/>
    </font>
    <font>
      <sz val="9.5"/>
      <color rgb="FF333333"/>
      <name val="微软雅黑"/>
      <charset val="134"/>
    </font>
    <font>
      <b/>
      <sz val="20"/>
      <color rgb="FFFFFFFF"/>
      <name val="DejaVu Sans"/>
      <charset val="134"/>
    </font>
    <font>
      <b/>
      <sz val="13"/>
      <color rgb="FFFFFFFF"/>
      <name val="微软雅黑"/>
      <charset val="1"/>
    </font>
    <font>
      <sz val="10.5"/>
      <color rgb="FF595959"/>
      <name val="DejaVu Sans"/>
      <charset val="134"/>
    </font>
    <font>
      <b/>
      <sz val="11.5"/>
      <color rgb="FFFFFFFF"/>
      <name val="DejaVu Sans"/>
      <charset val="134"/>
    </font>
    <font>
      <sz val="10"/>
      <color rgb="FF333333"/>
      <name val="DejaVu Sans"/>
      <charset val="134"/>
    </font>
    <font>
      <sz val="10"/>
      <color rgb="FF333333"/>
      <name val="微软雅黑"/>
      <charset val="1"/>
    </font>
    <font>
      <b/>
      <sz val="9.5"/>
      <color rgb="FF1F4E79"/>
      <name val="DejaVu Sans"/>
      <charset val="134"/>
    </font>
    <font>
      <sz val="9"/>
      <color rgb="FF808080"/>
      <name val="DejaVu Sans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.5"/>
      <color rgb="FF333333"/>
      <name val="宋体-简"/>
      <charset val="134"/>
    </font>
  </fonts>
  <fills count="78">
    <fill>
      <patternFill patternType="none"/>
    </fill>
    <fill>
      <patternFill patternType="gray125"/>
    </fill>
    <fill>
      <patternFill patternType="solid">
        <fgColor rgb="FF1F4E79"/>
        <bgColor rgb="FF305496"/>
      </patternFill>
    </fill>
    <fill>
      <patternFill patternType="solid">
        <fgColor rgb="FFE2EFDA"/>
        <bgColor rgb="FFEDF4E6"/>
      </patternFill>
    </fill>
    <fill>
      <patternFill patternType="solid">
        <fgColor rgb="FF305496"/>
        <bgColor rgb="FF1F4E79"/>
      </patternFill>
    </fill>
    <fill>
      <patternFill patternType="solid">
        <fgColor rgb="FFFFFFFF"/>
        <bgColor rgb="FFF5F8FC"/>
      </patternFill>
    </fill>
    <fill>
      <patternFill patternType="solid">
        <fgColor rgb="FFFFF2CC"/>
        <bgColor rgb="FFFBEDE5"/>
      </patternFill>
    </fill>
    <fill>
      <patternFill patternType="solid">
        <fgColor rgb="FF548235"/>
        <bgColor rgb="FF595959"/>
      </patternFill>
    </fill>
    <fill>
      <patternFill patternType="solid">
        <fgColor rgb="FFF2F2F2"/>
        <bgColor rgb="FFF2EFF7"/>
      </patternFill>
    </fill>
    <fill>
      <patternFill patternType="solid">
        <fgColor rgb="FFEAF0F7"/>
        <bgColor rgb="FFEAF1FA"/>
      </patternFill>
    </fill>
    <fill>
      <patternFill patternType="solid">
        <fgColor rgb="FFD6E4BC"/>
        <bgColor rgb="FFDDD9C4"/>
      </patternFill>
    </fill>
    <fill>
      <patternFill patternType="solid">
        <fgColor rgb="FFF4CCCC"/>
        <bgColor rgb="FFF2DCDB"/>
      </patternFill>
    </fill>
    <fill>
      <patternFill patternType="solid">
        <fgColor rgb="FFC0504D"/>
        <bgColor rgb="FFC55A11"/>
      </patternFill>
    </fill>
    <fill>
      <patternFill patternType="solid">
        <fgColor rgb="FFF2DCDB"/>
        <bgColor rgb="FFFCE4D6"/>
      </patternFill>
    </fill>
    <fill>
      <patternFill patternType="solid">
        <fgColor rgb="FF404040"/>
        <bgColor rgb="FF333333"/>
      </patternFill>
    </fill>
    <fill>
      <patternFill patternType="solid">
        <fgColor rgb="FF2E75B6"/>
        <bgColor rgb="FF305496"/>
      </patternFill>
    </fill>
    <fill>
      <patternFill patternType="solid">
        <fgColor rgb="FFFCE4D6"/>
        <bgColor rgb="FFF2DCDB"/>
      </patternFill>
    </fill>
    <fill>
      <patternFill patternType="solid">
        <fgColor rgb="FFFFF6F0"/>
        <bgColor rgb="FFFFFAE9"/>
      </patternFill>
    </fill>
    <fill>
      <patternFill patternType="solid">
        <fgColor rgb="FFFFFAE9"/>
        <bgColor rgb="FFFFF6F0"/>
      </patternFill>
    </fill>
    <fill>
      <patternFill patternType="solid">
        <fgColor rgb="FFF3F8EE"/>
        <bgColor rgb="FFF5F8FC"/>
      </patternFill>
    </fill>
    <fill>
      <patternFill patternType="solid">
        <fgColor rgb="FFDEEBF7"/>
        <bgColor rgb="FFE7EEF7"/>
      </patternFill>
    </fill>
    <fill>
      <patternFill patternType="solid">
        <fgColor rgb="FFEFF5FB"/>
        <bgColor rgb="FFF5F8FC"/>
      </patternFill>
    </fill>
    <fill>
      <patternFill patternType="solid">
        <fgColor rgb="FFE4DFEC"/>
        <bgColor rgb="FFF2DCDB"/>
      </patternFill>
    </fill>
    <fill>
      <patternFill patternType="solid">
        <fgColor rgb="FFF2EFF7"/>
        <bgColor rgb="FFF2F2F2"/>
      </patternFill>
    </fill>
    <fill>
      <patternFill patternType="solid">
        <fgColor rgb="FFDDD9C4"/>
        <bgColor rgb="FFD9D9D9"/>
      </patternFill>
    </fill>
    <fill>
      <patternFill patternType="solid">
        <fgColor rgb="FFF4F2E9"/>
        <bgColor rgb="FFF2F2F2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EAF0F7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BEDE5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AF1FA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DF4E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DE7F4"/>
        <bgColor indexed="64"/>
      </patternFill>
    </fill>
    <fill>
      <patternFill patternType="solid">
        <fgColor rgb="FFE7EEF7"/>
        <bgColor rgb="FFEAF0F7"/>
      </patternFill>
    </fill>
    <fill>
      <patternFill patternType="solid">
        <fgColor rgb="FFC55A11"/>
        <bgColor rgb="FFC0504D"/>
      </patternFill>
    </fill>
    <fill>
      <patternFill patternType="solid">
        <fgColor rgb="FFF5F8FC"/>
        <bgColor rgb="FFEFF5FB"/>
      </patternFill>
    </fill>
    <fill>
      <patternFill patternType="solid">
        <fgColor rgb="FFBF8F00"/>
        <bgColor rgb="FFC55A11"/>
      </patternFill>
    </fill>
    <fill>
      <patternFill patternType="solid">
        <fgColor rgb="FFFBEDE5"/>
        <bgColor rgb="FFF4F2E9"/>
      </patternFill>
    </fill>
    <fill>
      <patternFill patternType="solid">
        <fgColor rgb="FFEAF1FA"/>
        <bgColor rgb="FFEAF0F7"/>
      </patternFill>
    </fill>
    <fill>
      <patternFill patternType="solid">
        <fgColor rgb="FFD9D9D9"/>
        <bgColor rgb="FFDDD9C4"/>
      </patternFill>
    </fill>
    <fill>
      <patternFill patternType="solid">
        <fgColor rgb="FFEDF4E6"/>
        <bgColor rgb="FFF4F2E9"/>
      </patternFill>
    </fill>
    <fill>
      <patternFill patternType="solid">
        <fgColor rgb="FFE1D5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5" fillId="0" borderId="0"/>
    <xf numFmtId="44" fontId="65" fillId="0" borderId="0"/>
    <xf numFmtId="9" fontId="65" fillId="0" borderId="0"/>
    <xf numFmtId="41" fontId="65" fillId="0" borderId="0"/>
    <xf numFmtId="42" fontId="65" fillId="0" borderId="0"/>
    <xf numFmtId="0" fontId="66" fillId="0" borderId="0">
      <alignment vertical="center"/>
    </xf>
    <xf numFmtId="0" fontId="67" fillId="0" borderId="0">
      <alignment vertical="center"/>
    </xf>
    <xf numFmtId="0" fontId="68" fillId="47" borderId="7">
      <alignment vertical="center"/>
    </xf>
    <xf numFmtId="0" fontId="69" fillId="0" borderId="0">
      <alignment vertical="center"/>
    </xf>
    <xf numFmtId="0" fontId="70" fillId="0" borderId="0">
      <alignment vertical="center"/>
    </xf>
    <xf numFmtId="0" fontId="71" fillId="0" borderId="0">
      <alignment vertical="center"/>
    </xf>
    <xf numFmtId="0" fontId="72" fillId="0" borderId="8">
      <alignment vertical="center"/>
    </xf>
    <xf numFmtId="0" fontId="73" fillId="0" borderId="8">
      <alignment vertical="center"/>
    </xf>
    <xf numFmtId="0" fontId="74" fillId="0" borderId="9">
      <alignment vertical="center"/>
    </xf>
    <xf numFmtId="0" fontId="74" fillId="0" borderId="0">
      <alignment vertical="center"/>
    </xf>
    <xf numFmtId="0" fontId="75" fillId="48" borderId="10">
      <alignment vertical="center"/>
    </xf>
    <xf numFmtId="0" fontId="76" fillId="49" borderId="11">
      <alignment vertical="center"/>
    </xf>
    <xf numFmtId="0" fontId="77" fillId="49" borderId="10">
      <alignment vertical="center"/>
    </xf>
    <xf numFmtId="0" fontId="78" fillId="50" borderId="12">
      <alignment vertical="center"/>
    </xf>
    <xf numFmtId="0" fontId="79" fillId="0" borderId="13">
      <alignment vertical="center"/>
    </xf>
    <xf numFmtId="0" fontId="80" fillId="0" borderId="14">
      <alignment vertical="center"/>
    </xf>
    <xf numFmtId="0" fontId="81" fillId="51" borderId="0">
      <alignment vertical="center"/>
    </xf>
    <xf numFmtId="0" fontId="82" fillId="52" borderId="0">
      <alignment vertical="center"/>
    </xf>
    <xf numFmtId="0" fontId="83" fillId="53" borderId="0">
      <alignment vertical="center"/>
    </xf>
    <xf numFmtId="0" fontId="84" fillId="54" borderId="0">
      <alignment vertical="center"/>
    </xf>
    <xf numFmtId="0" fontId="85" fillId="55" borderId="0">
      <alignment vertical="center"/>
    </xf>
    <xf numFmtId="0" fontId="85" fillId="56" borderId="0">
      <alignment vertical="center"/>
    </xf>
    <xf numFmtId="0" fontId="84" fillId="57" borderId="0">
      <alignment vertical="center"/>
    </xf>
    <xf numFmtId="0" fontId="84" fillId="58" borderId="0">
      <alignment vertical="center"/>
    </xf>
    <xf numFmtId="0" fontId="85" fillId="59" borderId="0">
      <alignment vertical="center"/>
    </xf>
    <xf numFmtId="0" fontId="85" fillId="60" borderId="0">
      <alignment vertical="center"/>
    </xf>
    <xf numFmtId="0" fontId="84" fillId="61" borderId="0">
      <alignment vertical="center"/>
    </xf>
    <xf numFmtId="0" fontId="84" fillId="62" borderId="0">
      <alignment vertical="center"/>
    </xf>
    <xf numFmtId="0" fontId="85" fillId="63" borderId="0">
      <alignment vertical="center"/>
    </xf>
    <xf numFmtId="0" fontId="85" fillId="64" borderId="0">
      <alignment vertical="center"/>
    </xf>
    <xf numFmtId="0" fontId="84" fillId="65" borderId="0">
      <alignment vertical="center"/>
    </xf>
    <xf numFmtId="0" fontId="84" fillId="66" borderId="0">
      <alignment vertical="center"/>
    </xf>
    <xf numFmtId="0" fontId="85" fillId="67" borderId="0">
      <alignment vertical="center"/>
    </xf>
    <xf numFmtId="0" fontId="85" fillId="68" borderId="0">
      <alignment vertical="center"/>
    </xf>
    <xf numFmtId="0" fontId="84" fillId="69" borderId="0">
      <alignment vertical="center"/>
    </xf>
    <xf numFmtId="0" fontId="84" fillId="70" borderId="0">
      <alignment vertical="center"/>
    </xf>
    <xf numFmtId="0" fontId="85" fillId="71" borderId="0">
      <alignment vertical="center"/>
    </xf>
    <xf numFmtId="0" fontId="85" fillId="72" borderId="0">
      <alignment vertical="center"/>
    </xf>
    <xf numFmtId="0" fontId="84" fillId="73" borderId="0">
      <alignment vertical="center"/>
    </xf>
    <xf numFmtId="0" fontId="84" fillId="74" borderId="0">
      <alignment vertical="center"/>
    </xf>
    <xf numFmtId="0" fontId="85" fillId="75" borderId="0">
      <alignment vertical="center"/>
    </xf>
    <xf numFmtId="0" fontId="85" fillId="76" borderId="0">
      <alignment vertical="center"/>
    </xf>
    <xf numFmtId="0" fontId="84" fillId="77" borderId="0">
      <alignment vertical="center"/>
    </xf>
  </cellStyleXfs>
  <cellXfs count="17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4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14" fontId="7" fillId="5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2" fillId="7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17" fillId="6" borderId="1" xfId="0" applyFont="1" applyFill="1" applyBorder="1" applyAlignment="1">
      <alignment horizontal="left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20" fillId="15" borderId="1" xfId="0" applyFont="1" applyFill="1" applyBorder="1" applyAlignment="1">
      <alignment horizontal="center" vertical="center" wrapText="1"/>
    </xf>
    <xf numFmtId="0" fontId="21" fillId="16" borderId="1" xfId="0" applyFont="1" applyFill="1" applyBorder="1" applyAlignment="1">
      <alignment horizontal="center" vertical="center" wrapText="1"/>
    </xf>
    <xf numFmtId="0" fontId="22" fillId="17" borderId="1" xfId="0" applyFont="1" applyFill="1" applyBorder="1" applyAlignment="1">
      <alignment horizontal="left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22" fillId="18" borderId="1" xfId="0" applyFont="1" applyFill="1" applyBorder="1" applyAlignment="1">
      <alignment horizontal="left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2" fillId="19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center" vertical="center" wrapText="1"/>
    </xf>
    <xf numFmtId="0" fontId="22" fillId="21" borderId="1" xfId="0" applyFont="1" applyFill="1" applyBorder="1" applyAlignment="1">
      <alignment horizontal="left" vertical="center" wrapText="1"/>
    </xf>
    <xf numFmtId="0" fontId="21" fillId="22" borderId="1" xfId="0" applyFont="1" applyFill="1" applyBorder="1" applyAlignment="1">
      <alignment horizontal="center" vertical="center" wrapText="1"/>
    </xf>
    <xf numFmtId="0" fontId="22" fillId="23" borderId="1" xfId="0" applyFont="1" applyFill="1" applyBorder="1" applyAlignment="1">
      <alignment horizontal="left" vertical="center" wrapText="1"/>
    </xf>
    <xf numFmtId="0" fontId="21" fillId="24" borderId="1" xfId="0" applyFont="1" applyFill="1" applyBorder="1" applyAlignment="1">
      <alignment horizontal="center" vertical="center" wrapText="1"/>
    </xf>
    <xf numFmtId="0" fontId="22" fillId="25" borderId="1" xfId="0" applyFont="1" applyFill="1" applyBorder="1" applyAlignment="1">
      <alignment horizontal="left" vertical="center" wrapText="1"/>
    </xf>
    <xf numFmtId="0" fontId="23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24" fillId="26" borderId="0" xfId="0" applyFont="1" applyFill="1" applyAlignment="1">
      <alignment horizontal="center" vertical="center" wrapText="1"/>
    </xf>
    <xf numFmtId="0" fontId="25" fillId="27" borderId="0" xfId="0" applyFont="1" applyFill="1" applyAlignment="1">
      <alignment horizontal="center" vertical="center" wrapText="1"/>
    </xf>
    <xf numFmtId="0" fontId="26" fillId="28" borderId="1" xfId="0" applyFont="1" applyFill="1" applyBorder="1" applyAlignment="1">
      <alignment horizontal="center" vertical="center" wrapText="1"/>
    </xf>
    <xf numFmtId="0" fontId="27" fillId="29" borderId="1" xfId="0" applyFont="1" applyFill="1" applyBorder="1" applyAlignment="1">
      <alignment horizontal="center" vertical="center" wrapText="1"/>
    </xf>
    <xf numFmtId="0" fontId="28" fillId="29" borderId="1" xfId="0" applyFont="1" applyFill="1" applyBorder="1" applyAlignment="1">
      <alignment horizontal="center" vertical="center" wrapText="1"/>
    </xf>
    <xf numFmtId="0" fontId="29" fillId="30" borderId="1" xfId="0" applyFont="1" applyFill="1" applyBorder="1" applyAlignment="1">
      <alignment horizontal="center" vertical="center" wrapText="1"/>
    </xf>
    <xf numFmtId="0" fontId="30" fillId="31" borderId="1" xfId="0" applyFont="1" applyFill="1" applyBorder="1" applyAlignment="1">
      <alignment horizontal="left" vertical="center" wrapText="1"/>
    </xf>
    <xf numFmtId="0" fontId="31" fillId="31" borderId="1" xfId="0" applyFont="1" applyFill="1" applyBorder="1" applyAlignment="1">
      <alignment horizontal="center" vertical="center" wrapText="1"/>
    </xf>
    <xf numFmtId="0" fontId="30" fillId="31" borderId="1" xfId="0" applyFont="1" applyFill="1" applyBorder="1" applyAlignment="1">
      <alignment horizontal="center" vertical="center" wrapText="1"/>
    </xf>
    <xf numFmtId="0" fontId="32" fillId="31" borderId="1" xfId="0" applyFont="1" applyFill="1" applyBorder="1" applyAlignment="1">
      <alignment horizontal="left" vertical="center" wrapText="1"/>
    </xf>
    <xf numFmtId="0" fontId="0" fillId="29" borderId="1" xfId="0" applyFill="1" applyBorder="1"/>
    <xf numFmtId="0" fontId="29" fillId="32" borderId="1" xfId="0" applyFont="1" applyFill="1" applyBorder="1" applyAlignment="1">
      <alignment horizontal="center" vertical="center" wrapText="1"/>
    </xf>
    <xf numFmtId="0" fontId="30" fillId="33" borderId="1" xfId="0" applyFont="1" applyFill="1" applyBorder="1" applyAlignment="1">
      <alignment horizontal="left" vertical="center" wrapText="1"/>
    </xf>
    <xf numFmtId="0" fontId="31" fillId="33" borderId="1" xfId="0" applyFont="1" applyFill="1" applyBorder="1" applyAlignment="1">
      <alignment horizontal="center" vertical="center" wrapText="1"/>
    </xf>
    <xf numFmtId="0" fontId="30" fillId="33" borderId="1" xfId="0" applyFont="1" applyFill="1" applyBorder="1" applyAlignment="1">
      <alignment horizontal="center" vertical="center" wrapText="1"/>
    </xf>
    <xf numFmtId="0" fontId="32" fillId="33" borderId="1" xfId="0" applyFont="1" applyFill="1" applyBorder="1" applyAlignment="1">
      <alignment horizontal="left" vertical="center" wrapText="1"/>
    </xf>
    <xf numFmtId="0" fontId="29" fillId="34" borderId="1" xfId="0" applyFont="1" applyFill="1" applyBorder="1" applyAlignment="1">
      <alignment horizontal="center" vertical="center" wrapText="1"/>
    </xf>
    <xf numFmtId="0" fontId="30" fillId="35" borderId="1" xfId="0" applyFont="1" applyFill="1" applyBorder="1" applyAlignment="1">
      <alignment horizontal="left" vertical="center" wrapText="1"/>
    </xf>
    <xf numFmtId="0" fontId="31" fillId="35" borderId="1" xfId="0" applyFont="1" applyFill="1" applyBorder="1" applyAlignment="1">
      <alignment horizontal="center" vertical="center" wrapText="1"/>
    </xf>
    <xf numFmtId="0" fontId="30" fillId="35" borderId="1" xfId="0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horizontal="left" vertical="center" wrapText="1"/>
    </xf>
    <xf numFmtId="0" fontId="29" fillId="36" borderId="1" xfId="0" applyFont="1" applyFill="1" applyBorder="1" applyAlignment="1">
      <alignment horizontal="center" vertical="center" wrapText="1"/>
    </xf>
    <xf numFmtId="0" fontId="30" fillId="37" borderId="1" xfId="0" applyFont="1" applyFill="1" applyBorder="1" applyAlignment="1">
      <alignment horizontal="left" vertical="center" wrapText="1"/>
    </xf>
    <xf numFmtId="0" fontId="31" fillId="37" borderId="1" xfId="0" applyFont="1" applyFill="1" applyBorder="1" applyAlignment="1">
      <alignment horizontal="center" vertical="center" wrapText="1"/>
    </xf>
    <xf numFmtId="0" fontId="30" fillId="37" borderId="1" xfId="0" applyFont="1" applyFill="1" applyBorder="1" applyAlignment="1">
      <alignment horizontal="center" vertical="center" wrapText="1"/>
    </xf>
    <xf numFmtId="0" fontId="32" fillId="37" borderId="1" xfId="0" applyFont="1" applyFill="1" applyBorder="1" applyAlignment="1">
      <alignment horizontal="left" vertical="center" wrapText="1"/>
    </xf>
    <xf numFmtId="0" fontId="33" fillId="38" borderId="1" xfId="0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left" vertical="center" wrapText="1"/>
    </xf>
    <xf numFmtId="0" fontId="20" fillId="39" borderId="1" xfId="0" applyFont="1" applyFill="1" applyBorder="1" applyAlignment="1">
      <alignment horizontal="center" vertical="center" wrapText="1"/>
    </xf>
    <xf numFmtId="0" fontId="35" fillId="5" borderId="1" xfId="0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37" fillId="6" borderId="1" xfId="0" applyFont="1" applyFill="1" applyBorder="1" applyAlignment="1">
      <alignment horizontal="left" vertical="center" wrapText="1"/>
    </xf>
    <xf numFmtId="0" fontId="0" fillId="0" borderId="4" xfId="0" applyBorder="1"/>
    <xf numFmtId="0" fontId="35" fillId="40" borderId="1" xfId="0" applyFont="1" applyFill="1" applyBorder="1" applyAlignment="1">
      <alignment horizontal="center" vertical="center" wrapText="1"/>
    </xf>
    <xf numFmtId="0" fontId="6" fillId="40" borderId="1" xfId="0" applyFont="1" applyFill="1" applyBorder="1" applyAlignment="1">
      <alignment horizontal="left" vertical="center" wrapText="1"/>
    </xf>
    <xf numFmtId="0" fontId="36" fillId="40" borderId="1" xfId="0" applyFont="1" applyFill="1" applyBorder="1" applyAlignment="1">
      <alignment horizontal="center" vertical="center" wrapText="1"/>
    </xf>
    <xf numFmtId="0" fontId="11" fillId="40" borderId="1" xfId="0" applyFont="1" applyFill="1" applyBorder="1" applyAlignment="1">
      <alignment horizontal="left" vertical="center" wrapText="1"/>
    </xf>
    <xf numFmtId="0" fontId="0" fillId="0" borderId="5" xfId="0" applyBorder="1"/>
    <xf numFmtId="0" fontId="7" fillId="40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17" fillId="40" borderId="1" xfId="0" applyFont="1" applyFill="1" applyBorder="1" applyAlignment="1">
      <alignment horizontal="left" vertical="center" wrapText="1"/>
    </xf>
    <xf numFmtId="0" fontId="20" fillId="41" borderId="1" xfId="0" applyFont="1" applyFill="1" applyBorder="1" applyAlignment="1">
      <alignment horizontal="center" vertical="center" wrapText="1"/>
    </xf>
    <xf numFmtId="0" fontId="38" fillId="42" borderId="1" xfId="0" applyFont="1" applyFill="1" applyBorder="1" applyAlignment="1">
      <alignment horizontal="right" vertical="center" wrapText="1"/>
    </xf>
    <xf numFmtId="0" fontId="38" fillId="42" borderId="1" xfId="0" applyFont="1" applyFill="1" applyBorder="1" applyAlignment="1">
      <alignment horizontal="center" vertical="center" wrapText="1"/>
    </xf>
    <xf numFmtId="0" fontId="39" fillId="42" borderId="1" xfId="0" applyFont="1" applyFill="1" applyBorder="1" applyAlignment="1">
      <alignment horizontal="center" vertical="center" wrapText="1"/>
    </xf>
    <xf numFmtId="0" fontId="17" fillId="42" borderId="1" xfId="0" applyFont="1" applyFill="1" applyBorder="1" applyAlignment="1">
      <alignment horizontal="left" vertical="center" wrapText="1"/>
    </xf>
    <xf numFmtId="0" fontId="38" fillId="43" borderId="1" xfId="0" applyFont="1" applyFill="1" applyBorder="1" applyAlignment="1">
      <alignment horizontal="right" vertical="center" wrapText="1"/>
    </xf>
    <xf numFmtId="0" fontId="38" fillId="43" borderId="1" xfId="0" applyFont="1" applyFill="1" applyBorder="1" applyAlignment="1">
      <alignment horizontal="center" vertical="center" wrapText="1"/>
    </xf>
    <xf numFmtId="0" fontId="39" fillId="43" borderId="1" xfId="0" applyFont="1" applyFill="1" applyBorder="1" applyAlignment="1">
      <alignment horizontal="center" vertical="center" wrapText="1"/>
    </xf>
    <xf numFmtId="0" fontId="17" fillId="43" borderId="1" xfId="0" applyFont="1" applyFill="1" applyBorder="1" applyAlignment="1">
      <alignment horizontal="left" vertical="center" wrapText="1"/>
    </xf>
    <xf numFmtId="0" fontId="38" fillId="6" borderId="1" xfId="0" applyFont="1" applyFill="1" applyBorder="1" applyAlignment="1">
      <alignment horizontal="right" vertical="center" wrapText="1"/>
    </xf>
    <xf numFmtId="0" fontId="38" fillId="6" borderId="1" xfId="0" applyFont="1" applyFill="1" applyBorder="1" applyAlignment="1">
      <alignment horizontal="center" vertical="center" wrapText="1"/>
    </xf>
    <xf numFmtId="0" fontId="39" fillId="6" borderId="1" xfId="0" applyFont="1" applyFill="1" applyBorder="1" applyAlignment="1">
      <alignment horizontal="center" vertical="center" wrapText="1"/>
    </xf>
    <xf numFmtId="0" fontId="40" fillId="2" borderId="1" xfId="0" applyFont="1" applyFill="1" applyBorder="1" applyAlignment="1">
      <alignment horizontal="right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42" fillId="2" borderId="1" xfId="0" applyFont="1" applyFill="1" applyBorder="1" applyAlignment="1">
      <alignment horizontal="center" vertical="center" wrapText="1"/>
    </xf>
    <xf numFmtId="0" fontId="43" fillId="2" borderId="1" xfId="0" applyFont="1" applyFill="1" applyBorder="1" applyAlignment="1">
      <alignment horizontal="left" vertical="center" wrapText="1"/>
    </xf>
    <xf numFmtId="0" fontId="40" fillId="7" borderId="6" xfId="0" applyFont="1" applyFill="1" applyBorder="1" applyAlignment="1">
      <alignment horizontal="left" vertical="center" wrapText="1"/>
    </xf>
    <xf numFmtId="0" fontId="44" fillId="38" borderId="1" xfId="0" applyFont="1" applyFill="1" applyBorder="1" applyAlignment="1">
      <alignment horizontal="center" vertical="center" wrapText="1"/>
    </xf>
    <xf numFmtId="9" fontId="45" fillId="5" borderId="1" xfId="0" applyNumberFormat="1" applyFont="1" applyFill="1" applyBorder="1" applyAlignment="1">
      <alignment horizontal="left" vertical="center" wrapText="1"/>
    </xf>
    <xf numFmtId="0" fontId="46" fillId="5" borderId="1" xfId="0" applyFont="1" applyFill="1" applyBorder="1" applyAlignment="1">
      <alignment horizontal="left" vertical="center" wrapText="1"/>
    </xf>
    <xf numFmtId="0" fontId="47" fillId="39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48" fillId="5" borderId="1" xfId="0" applyFont="1" applyFill="1" applyBorder="1" applyAlignment="1">
      <alignment horizontal="left" vertical="center" wrapText="1"/>
    </xf>
    <xf numFmtId="0" fontId="49" fillId="5" borderId="1" xfId="0" applyFont="1" applyFill="1" applyBorder="1" applyAlignment="1">
      <alignment horizontal="left" vertical="center" wrapText="1"/>
    </xf>
    <xf numFmtId="0" fontId="50" fillId="5" borderId="1" xfId="0" applyFont="1" applyFill="1" applyBorder="1" applyAlignment="1">
      <alignment horizontal="center" vertical="center" wrapText="1"/>
    </xf>
    <xf numFmtId="0" fontId="16" fillId="40" borderId="1" xfId="0" applyFont="1" applyFill="1" applyBorder="1" applyAlignment="1">
      <alignment horizontal="left" vertical="center" wrapText="1"/>
    </xf>
    <xf numFmtId="0" fontId="22" fillId="40" borderId="1" xfId="0" applyFont="1" applyFill="1" applyBorder="1" applyAlignment="1">
      <alignment horizontal="left" vertical="center" wrapText="1"/>
    </xf>
    <xf numFmtId="0" fontId="49" fillId="40" borderId="1" xfId="0" applyFont="1" applyFill="1" applyBorder="1" applyAlignment="1">
      <alignment horizontal="left" vertical="center" wrapText="1"/>
    </xf>
    <xf numFmtId="0" fontId="50" fillId="40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left" vertical="center" wrapText="1"/>
    </xf>
    <xf numFmtId="0" fontId="51" fillId="5" borderId="1" xfId="0" applyFont="1" applyFill="1" applyBorder="1" applyAlignment="1">
      <alignment horizontal="left" vertical="center" wrapText="1"/>
    </xf>
    <xf numFmtId="0" fontId="52" fillId="40" borderId="1" xfId="0" applyFont="1" applyFill="1" applyBorder="1" applyAlignment="1">
      <alignment horizontal="left" vertical="center" wrapText="1"/>
    </xf>
    <xf numFmtId="0" fontId="47" fillId="15" borderId="1" xfId="0" applyFont="1" applyFill="1" applyBorder="1" applyAlignment="1">
      <alignment horizontal="center" vertical="center" wrapText="1"/>
    </xf>
    <xf numFmtId="0" fontId="51" fillId="40" borderId="1" xfId="0" applyFont="1" applyFill="1" applyBorder="1" applyAlignment="1">
      <alignment horizontal="left" vertical="center" wrapText="1"/>
    </xf>
    <xf numFmtId="0" fontId="47" fillId="41" borderId="1" xfId="0" applyFont="1" applyFill="1" applyBorder="1" applyAlignment="1">
      <alignment horizontal="center" vertical="center" wrapText="1"/>
    </xf>
    <xf numFmtId="0" fontId="35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22" fillId="6" borderId="1" xfId="0" applyFont="1" applyFill="1" applyBorder="1" applyAlignment="1">
      <alignment horizontal="left" vertical="center" wrapText="1"/>
    </xf>
    <xf numFmtId="0" fontId="51" fillId="6" borderId="1" xfId="0" applyFont="1" applyFill="1" applyBorder="1" applyAlignment="1">
      <alignment horizontal="left" vertical="center" wrapText="1"/>
    </xf>
    <xf numFmtId="0" fontId="50" fillId="6" borderId="1" xfId="0" applyFont="1" applyFill="1" applyBorder="1" applyAlignment="1">
      <alignment horizontal="center" vertical="center" wrapText="1"/>
    </xf>
    <xf numFmtId="0" fontId="53" fillId="14" borderId="1" xfId="0" applyFont="1" applyFill="1" applyBorder="1" applyAlignment="1">
      <alignment horizontal="center" vertical="center" wrapText="1"/>
    </xf>
    <xf numFmtId="0" fontId="54" fillId="44" borderId="1" xfId="0" applyFont="1" applyFill="1" applyBorder="1" applyAlignment="1">
      <alignment horizontal="right" vertical="center" wrapText="1"/>
    </xf>
    <xf numFmtId="0" fontId="55" fillId="44" borderId="1" xfId="0" applyFont="1" applyFill="1" applyBorder="1" applyAlignment="1">
      <alignment horizontal="center" vertical="center" wrapText="1"/>
    </xf>
    <xf numFmtId="0" fontId="41" fillId="7" borderId="6" xfId="0" applyFont="1" applyFill="1" applyBorder="1" applyAlignment="1">
      <alignment horizontal="left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53" fillId="39" borderId="1" xfId="0" applyFont="1" applyFill="1" applyBorder="1" applyAlignment="1">
      <alignment horizontal="center" vertical="center" wrapText="1"/>
    </xf>
    <xf numFmtId="0" fontId="53" fillId="15" borderId="1" xfId="0" applyFont="1" applyFill="1" applyBorder="1" applyAlignment="1">
      <alignment horizontal="center" vertical="center" wrapText="1"/>
    </xf>
    <xf numFmtId="0" fontId="53" fillId="7" borderId="1" xfId="0" applyFont="1" applyFill="1" applyBorder="1" applyAlignment="1">
      <alignment horizontal="center" vertical="center" wrapText="1"/>
    </xf>
    <xf numFmtId="0" fontId="53" fillId="36" borderId="1" xfId="0" applyFont="1" applyFill="1" applyBorder="1" applyAlignment="1">
      <alignment horizontal="center" vertical="center" wrapText="1"/>
    </xf>
    <xf numFmtId="0" fontId="6" fillId="42" borderId="1" xfId="0" applyFont="1" applyFill="1" applyBorder="1" applyAlignment="1">
      <alignment horizontal="left" vertical="center" wrapText="1"/>
    </xf>
    <xf numFmtId="0" fontId="6" fillId="43" borderId="1" xfId="0" applyFont="1" applyFill="1" applyBorder="1" applyAlignment="1">
      <alignment horizontal="left" vertical="center" wrapText="1"/>
    </xf>
    <xf numFmtId="0" fontId="6" fillId="45" borderId="1" xfId="0" applyFont="1" applyFill="1" applyBorder="1" applyAlignment="1">
      <alignment horizontal="left" vertical="center" wrapText="1"/>
    </xf>
    <xf numFmtId="0" fontId="6" fillId="37" borderId="1" xfId="0" applyFont="1" applyFill="1" applyBorder="1" applyAlignment="1">
      <alignment horizontal="left" vertical="center" wrapText="1"/>
    </xf>
    <xf numFmtId="0" fontId="6" fillId="16" borderId="1" xfId="0" applyFont="1" applyFill="1" applyBorder="1" applyAlignment="1">
      <alignment horizontal="left" vertical="center" wrapText="1"/>
    </xf>
    <xf numFmtId="0" fontId="6" fillId="20" borderId="1" xfId="0" applyFont="1" applyFill="1" applyBorder="1" applyAlignment="1">
      <alignment horizontal="left" vertical="center" wrapText="1"/>
    </xf>
    <xf numFmtId="0" fontId="6" fillId="46" borderId="1" xfId="0" applyFont="1" applyFill="1" applyBorder="1" applyAlignment="1">
      <alignment horizontal="left" vertical="center" wrapText="1"/>
    </xf>
    <xf numFmtId="0" fontId="56" fillId="43" borderId="1" xfId="0" applyFont="1" applyFill="1" applyBorder="1" applyAlignment="1">
      <alignment horizontal="left" vertical="center" wrapText="1"/>
    </xf>
    <xf numFmtId="0" fontId="35" fillId="38" borderId="1" xfId="0" applyFont="1" applyFill="1" applyBorder="1" applyAlignment="1">
      <alignment horizontal="center" vertical="center" wrapText="1"/>
    </xf>
    <xf numFmtId="0" fontId="56" fillId="20" borderId="1" xfId="0" applyFont="1" applyFill="1" applyBorder="1" applyAlignment="1">
      <alignment horizontal="left" vertical="center" wrapText="1"/>
    </xf>
    <xf numFmtId="0" fontId="40" fillId="15" borderId="6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40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57" fillId="2" borderId="0" xfId="0" applyFont="1" applyFill="1" applyAlignment="1">
      <alignment horizontal="center" vertical="center" wrapText="1"/>
    </xf>
    <xf numFmtId="0" fontId="58" fillId="15" borderId="0" xfId="0" applyFont="1" applyFill="1" applyAlignment="1">
      <alignment horizontal="center" vertical="center" wrapText="1"/>
    </xf>
    <xf numFmtId="0" fontId="59" fillId="3" borderId="0" xfId="0" applyFont="1" applyFill="1" applyAlignment="1">
      <alignment horizontal="center" vertical="center" wrapText="1"/>
    </xf>
    <xf numFmtId="0" fontId="60" fillId="7" borderId="6" xfId="0" applyFont="1" applyFill="1" applyBorder="1" applyAlignment="1">
      <alignment horizontal="left" vertical="center" wrapText="1"/>
    </xf>
    <xf numFmtId="0" fontId="61" fillId="40" borderId="6" xfId="0" applyFont="1" applyFill="1" applyBorder="1" applyAlignment="1">
      <alignment horizontal="left" vertical="center" wrapText="1"/>
    </xf>
    <xf numFmtId="0" fontId="61" fillId="5" borderId="6" xfId="0" applyFont="1" applyFill="1" applyBorder="1" applyAlignment="1">
      <alignment horizontal="left" vertical="center" wrapText="1"/>
    </xf>
    <xf numFmtId="0" fontId="62" fillId="40" borderId="6" xfId="0" applyFont="1" applyFill="1" applyBorder="1" applyAlignment="1">
      <alignment horizontal="left" vertical="center" wrapText="1"/>
    </xf>
    <xf numFmtId="0" fontId="62" fillId="5" borderId="6" xfId="0" applyFont="1" applyFill="1" applyBorder="1" applyAlignment="1">
      <alignment horizontal="left" vertical="center" wrapText="1"/>
    </xf>
    <xf numFmtId="0" fontId="60" fillId="41" borderId="6" xfId="0" applyFont="1" applyFill="1" applyBorder="1" applyAlignment="1">
      <alignment horizontal="left" vertical="center" wrapText="1"/>
    </xf>
    <xf numFmtId="0" fontId="5" fillId="40" borderId="1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left" vertical="center" wrapText="1"/>
    </xf>
    <xf numFmtId="0" fontId="7" fillId="5" borderId="6" xfId="0" applyFont="1" applyFill="1" applyBorder="1" applyAlignment="1">
      <alignment horizontal="left" vertical="center" wrapText="1"/>
    </xf>
    <xf numFmtId="0" fontId="63" fillId="40" borderId="1" xfId="0" applyFont="1" applyFill="1" applyBorder="1" applyAlignment="1">
      <alignment horizontal="center" vertical="center" wrapText="1"/>
    </xf>
    <xf numFmtId="0" fontId="64" fillId="6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548235"/>
      <rgbColor rgb="00800080"/>
      <rgbColor rgb="00008080"/>
      <rgbColor rgb="00BFBFBF"/>
      <rgbColor rgb="00808080"/>
      <rgbColor rgb="00E7EEF7"/>
      <rgbColor rgb="00C0504D"/>
      <rgbColor rgb="00FFF2CC"/>
      <rgbColor rgb="00DEEBF7"/>
      <rgbColor rgb="00660066"/>
      <rgbColor rgb="00FBEDE5"/>
      <rgbColor rgb="000066CC"/>
      <rgbColor rgb="00D9D9D9"/>
      <rgbColor rgb="00000080"/>
      <rgbColor rgb="00FF00FF"/>
      <rgbColor rgb="00FCE4D6"/>
      <rgbColor rgb="00F3F8EE"/>
      <rgbColor rgb="00800080"/>
      <rgbColor rgb="00800000"/>
      <rgbColor rgb="00008080"/>
      <rgbColor rgb="000000FF"/>
      <rgbColor rgb="00F4F2E9"/>
      <rgbColor rgb="00EAF1FA"/>
      <rgbColor rgb="00E2EFDA"/>
      <rgbColor rgb="00FFFAE9"/>
      <rgbColor rgb="00DDD9C4"/>
      <rgbColor rgb="00F2DCDB"/>
      <rgbColor rgb="00E4DFEC"/>
      <rgbColor rgb="00F4CCCC"/>
      <rgbColor rgb="002E75B6"/>
      <rgbColor rgb="00EFF5FB"/>
      <rgbColor rgb="00EDF4E6"/>
      <rgbColor rgb="00D6E4BC"/>
      <rgbColor rgb="00BF8F00"/>
      <rgbColor rgb="00C55A11"/>
      <rgbColor rgb="00595959"/>
      <rgbColor rgb="00EAF0F7"/>
      <rgbColor rgb="001F4E79"/>
      <rgbColor rgb="00F2EFF7"/>
      <rgbColor rgb="00003300"/>
      <rgbColor rgb="00404040"/>
      <rgbColor rgb="00993300"/>
      <rgbColor rgb="00FFF6F0"/>
      <rgbColor rgb="00305496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G44"/>
  <sheetViews>
    <sheetView showGridLines="0" workbookViewId="0">
      <selection activeCell="B4" sqref="B4:G4"/>
    </sheetView>
  </sheetViews>
  <sheetFormatPr defaultColWidth="8.6796875" defaultRowHeight="16.8" outlineLevelCol="6"/>
  <cols>
    <col min="1" max="1" width="2.5" customWidth="1"/>
    <col min="2" max="7" width="20" customWidth="1"/>
    <col min="8" max="8" width="2.5" customWidth="1"/>
  </cols>
  <sheetData>
    <row r="2" ht="39.75" customHeight="1" spans="2:7">
      <c r="B2" s="165" t="s">
        <v>0</v>
      </c>
    </row>
    <row r="3" ht="25.5" customHeight="1" spans="2:7">
      <c r="B3" s="166" t="s">
        <v>1</v>
      </c>
    </row>
    <row r="4" ht="21.75" customHeight="1" spans="2:7">
      <c r="B4" s="167" t="s">
        <v>2</v>
      </c>
    </row>
    <row r="6" ht="24" customHeight="1" spans="2:7">
      <c r="B6" s="168" t="s">
        <v>3</v>
      </c>
      <c r="C6" s="14"/>
      <c r="D6" s="14"/>
      <c r="E6" s="14"/>
      <c r="F6" s="14"/>
      <c r="G6" s="14"/>
    </row>
    <row r="7" ht="21.75" customHeight="1" spans="2:7">
      <c r="B7" s="169" t="s">
        <v>4</v>
      </c>
      <c r="C7" s="14"/>
      <c r="D7" s="14"/>
      <c r="E7" s="14"/>
      <c r="F7" s="14"/>
      <c r="G7" s="14"/>
    </row>
    <row r="8" ht="21.75" customHeight="1" spans="2:7">
      <c r="B8" s="170" t="s">
        <v>5</v>
      </c>
      <c r="C8" s="14"/>
      <c r="D8" s="14"/>
      <c r="E8" s="14"/>
      <c r="F8" s="14"/>
      <c r="G8" s="14"/>
    </row>
    <row r="9" ht="21.75" customHeight="1" spans="2:7">
      <c r="B9" s="171" t="s">
        <v>6</v>
      </c>
      <c r="C9" s="14"/>
      <c r="D9" s="14"/>
      <c r="E9" s="14"/>
      <c r="F9" s="14"/>
      <c r="G9" s="14"/>
    </row>
    <row r="11" ht="24" customHeight="1" spans="2:7">
      <c r="B11" s="168" t="s">
        <v>7</v>
      </c>
      <c r="C11" s="14"/>
      <c r="D11" s="14"/>
      <c r="E11" s="14"/>
      <c r="F11" s="14"/>
      <c r="G11" s="14"/>
    </row>
    <row r="12" ht="21.75" customHeight="1" spans="2:7">
      <c r="B12" s="170" t="s">
        <v>8</v>
      </c>
      <c r="C12" s="14"/>
      <c r="D12" s="14"/>
      <c r="E12" s="14"/>
      <c r="F12" s="14"/>
      <c r="G12" s="14"/>
    </row>
    <row r="13" ht="21.75" customHeight="1" spans="2:7">
      <c r="B13" s="169" t="s">
        <v>9</v>
      </c>
      <c r="C13" s="14"/>
      <c r="D13" s="14"/>
      <c r="E13" s="14"/>
      <c r="F13" s="14"/>
      <c r="G13" s="14"/>
    </row>
    <row r="14" ht="21.75" customHeight="1" spans="2:7">
      <c r="B14" s="170" t="s">
        <v>10</v>
      </c>
      <c r="C14" s="14"/>
      <c r="D14" s="14"/>
      <c r="E14" s="14"/>
      <c r="F14" s="14"/>
      <c r="G14" s="14"/>
    </row>
    <row r="15" ht="21.75" customHeight="1" spans="2:7">
      <c r="B15" s="169" t="s">
        <v>11</v>
      </c>
      <c r="C15" s="14"/>
      <c r="D15" s="14"/>
      <c r="E15" s="14"/>
      <c r="F15" s="14"/>
      <c r="G15" s="14"/>
    </row>
    <row r="17" ht="24" customHeight="1" spans="2:7">
      <c r="B17" s="168" t="s">
        <v>12</v>
      </c>
      <c r="C17" s="14"/>
      <c r="D17" s="14"/>
      <c r="E17" s="14"/>
      <c r="F17" s="14"/>
      <c r="G17" s="14"/>
    </row>
    <row r="18" ht="21.75" customHeight="1" spans="2:7">
      <c r="B18" s="171" t="s">
        <v>13</v>
      </c>
      <c r="C18" s="14"/>
      <c r="D18" s="14"/>
      <c r="E18" s="14"/>
      <c r="F18" s="14"/>
      <c r="G18" s="14"/>
    </row>
    <row r="19" ht="21.75" customHeight="1" spans="2:7">
      <c r="B19" s="172" t="s">
        <v>14</v>
      </c>
      <c r="C19" s="14"/>
      <c r="D19" s="14"/>
      <c r="E19" s="14"/>
      <c r="F19" s="14"/>
      <c r="G19" s="14"/>
    </row>
    <row r="20" ht="21.75" customHeight="1" spans="2:7">
      <c r="B20" s="171" t="s">
        <v>15</v>
      </c>
      <c r="C20" s="14"/>
      <c r="D20" s="14"/>
      <c r="E20" s="14"/>
      <c r="F20" s="14"/>
      <c r="G20" s="14"/>
    </row>
    <row r="22" ht="24" customHeight="1" spans="2:7">
      <c r="B22" s="173" t="s">
        <v>16</v>
      </c>
      <c r="C22" s="14"/>
      <c r="D22" s="14"/>
      <c r="E22" s="14"/>
      <c r="F22" s="14"/>
      <c r="G22" s="14"/>
    </row>
    <row r="23" ht="21.75" customHeight="1" spans="2:7">
      <c r="B23" s="172" t="s">
        <v>17</v>
      </c>
      <c r="C23" s="14"/>
      <c r="D23" s="14"/>
      <c r="E23" s="14"/>
      <c r="F23" s="14"/>
      <c r="G23" s="14"/>
    </row>
    <row r="24" ht="21.75" customHeight="1" spans="2:7">
      <c r="B24" s="171" t="s">
        <v>18</v>
      </c>
      <c r="C24" s="14"/>
      <c r="D24" s="14"/>
      <c r="E24" s="14"/>
      <c r="F24" s="14"/>
      <c r="G24" s="14"/>
    </row>
    <row r="25" ht="21.75" customHeight="1" spans="2:7">
      <c r="B25" s="172" t="s">
        <v>19</v>
      </c>
      <c r="C25" s="14"/>
      <c r="D25" s="14"/>
      <c r="E25" s="14"/>
      <c r="F25" s="14"/>
      <c r="G25" s="14"/>
    </row>
    <row r="26" ht="21.75" customHeight="1" spans="2:7">
      <c r="B26" s="171" t="s">
        <v>20</v>
      </c>
      <c r="C26" s="14"/>
      <c r="D26" s="14"/>
      <c r="E26" s="14"/>
      <c r="F26" s="14"/>
      <c r="G26" s="14"/>
    </row>
    <row r="27" ht="21.75" customHeight="1" spans="2:7">
      <c r="B27" s="172" t="s">
        <v>21</v>
      </c>
      <c r="C27" s="14"/>
      <c r="D27" s="14"/>
      <c r="E27" s="14"/>
      <c r="F27" s="14"/>
      <c r="G27" s="14"/>
    </row>
    <row r="28" ht="21.75" customHeight="1" spans="2:7">
      <c r="B28" s="171" t="s">
        <v>22</v>
      </c>
      <c r="C28" s="14"/>
      <c r="D28" s="14"/>
      <c r="E28" s="14"/>
      <c r="F28" s="14"/>
      <c r="G28" s="14"/>
    </row>
    <row r="29" ht="21.75" customHeight="1" spans="2:7">
      <c r="B29" s="172" t="s">
        <v>23</v>
      </c>
      <c r="C29" s="14"/>
      <c r="D29" s="14"/>
      <c r="E29" s="14"/>
      <c r="F29" s="14"/>
      <c r="G29" s="14"/>
    </row>
    <row r="31" ht="24" customHeight="1" spans="2:7">
      <c r="B31" s="173" t="s">
        <v>24</v>
      </c>
      <c r="C31" s="14"/>
      <c r="D31" s="14"/>
      <c r="E31" s="14"/>
      <c r="F31" s="14"/>
      <c r="G31" s="14"/>
    </row>
    <row r="32" ht="18" customHeight="1" spans="2:7">
      <c r="B32" s="174" t="s">
        <v>25</v>
      </c>
      <c r="C32" s="175" t="s">
        <v>26</v>
      </c>
      <c r="D32" s="14"/>
      <c r="E32" s="14"/>
      <c r="F32" s="14"/>
      <c r="G32" s="14"/>
    </row>
    <row r="33" ht="18" customHeight="1" spans="2:7">
      <c r="B33" s="174" t="s">
        <v>27</v>
      </c>
      <c r="C33" s="175" t="s">
        <v>28</v>
      </c>
      <c r="D33" s="14"/>
      <c r="E33" s="14"/>
      <c r="F33" s="14"/>
      <c r="G33" s="14"/>
    </row>
    <row r="34" ht="18" customHeight="1" spans="2:7">
      <c r="B34" s="174" t="s">
        <v>29</v>
      </c>
      <c r="C34" s="175" t="s">
        <v>30</v>
      </c>
      <c r="D34" s="14"/>
      <c r="E34" s="14"/>
      <c r="F34" s="14"/>
      <c r="G34" s="14"/>
    </row>
    <row r="35" ht="18" customHeight="1" spans="2:7">
      <c r="B35" s="174" t="s">
        <v>31</v>
      </c>
      <c r="C35" s="175" t="s">
        <v>32</v>
      </c>
      <c r="D35" s="14"/>
      <c r="E35" s="14"/>
      <c r="F35" s="14"/>
      <c r="G35" s="14"/>
    </row>
    <row r="36" ht="18" customHeight="1" spans="2:7">
      <c r="B36" s="174" t="s">
        <v>33</v>
      </c>
      <c r="C36" s="175" t="s">
        <v>34</v>
      </c>
      <c r="D36" s="14"/>
      <c r="E36" s="14"/>
      <c r="F36" s="14"/>
      <c r="G36" s="14"/>
    </row>
    <row r="37" ht="18" customHeight="1" spans="2:7">
      <c r="B37" s="174" t="s">
        <v>35</v>
      </c>
      <c r="C37" s="176" t="s">
        <v>36</v>
      </c>
      <c r="D37" s="14"/>
      <c r="E37" s="14"/>
      <c r="F37" s="14"/>
      <c r="G37" s="14"/>
    </row>
    <row r="38" ht="18" customHeight="1" spans="2:7">
      <c r="B38" s="174" t="s">
        <v>37</v>
      </c>
      <c r="C38" s="176" t="s">
        <v>38</v>
      </c>
      <c r="D38" s="14"/>
      <c r="E38" s="14"/>
      <c r="F38" s="14"/>
      <c r="G38" s="14"/>
    </row>
    <row r="39" ht="18" customHeight="1" spans="2:7">
      <c r="B39" s="174" t="s">
        <v>39</v>
      </c>
      <c r="C39" s="176" t="s">
        <v>40</v>
      </c>
      <c r="D39" s="14"/>
      <c r="E39" s="14"/>
      <c r="F39" s="14"/>
      <c r="G39" s="14"/>
    </row>
    <row r="40" ht="18" customHeight="1" spans="2:7">
      <c r="B40" s="174" t="s">
        <v>41</v>
      </c>
      <c r="C40" s="176" t="s">
        <v>42</v>
      </c>
      <c r="D40" s="14"/>
      <c r="E40" s="14"/>
      <c r="F40" s="14"/>
      <c r="G40" s="14"/>
    </row>
    <row r="41" ht="18" customHeight="1" spans="2:7">
      <c r="B41" s="177" t="s">
        <v>43</v>
      </c>
      <c r="C41" s="175" t="s">
        <v>44</v>
      </c>
      <c r="D41" s="14"/>
      <c r="E41" s="14"/>
      <c r="F41" s="14"/>
      <c r="G41" s="14"/>
    </row>
    <row r="42" ht="18" customHeight="1" spans="2:7">
      <c r="B42" s="174" t="s">
        <v>45</v>
      </c>
      <c r="C42" s="176" t="s">
        <v>46</v>
      </c>
      <c r="D42" s="14"/>
      <c r="E42" s="14"/>
      <c r="F42" s="14"/>
      <c r="G42" s="14"/>
    </row>
    <row r="44" ht="33.75" customHeight="1" spans="2:7">
      <c r="B44" s="178" t="s">
        <v>47</v>
      </c>
    </row>
  </sheetData>
  <mergeCells count="37">
    <mergeCell ref="B2:G2"/>
    <mergeCell ref="B3:G3"/>
    <mergeCell ref="B4:G4"/>
    <mergeCell ref="B6:G6"/>
    <mergeCell ref="B7:G7"/>
    <mergeCell ref="B8:G8"/>
    <mergeCell ref="B9:G9"/>
    <mergeCell ref="B11:G11"/>
    <mergeCell ref="B12:G12"/>
    <mergeCell ref="B13:G13"/>
    <mergeCell ref="B14:G14"/>
    <mergeCell ref="B15:G15"/>
    <mergeCell ref="B17:G17"/>
    <mergeCell ref="B18:G18"/>
    <mergeCell ref="B19:G19"/>
    <mergeCell ref="B20:G20"/>
    <mergeCell ref="B22:G22"/>
    <mergeCell ref="B23:G23"/>
    <mergeCell ref="B24:G24"/>
    <mergeCell ref="B25:G25"/>
    <mergeCell ref="B26:G26"/>
    <mergeCell ref="B27:G27"/>
    <mergeCell ref="B28:G28"/>
    <mergeCell ref="B29:G29"/>
    <mergeCell ref="B31:G31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B44:G44"/>
  </mergeCells>
  <printOptions horizontalCentered="1"/>
  <pageMargins left="0.3" right="0.3" top="0.4" bottom="0.4" header="0.511811023622047" footer="0.511811023622047"/>
  <pageSetup paperSize="1" fitToHeight="0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F46"/>
  <sheetViews>
    <sheetView showGridLines="0" workbookViewId="0">
      <selection activeCell="E53" sqref="E53"/>
    </sheetView>
  </sheetViews>
  <sheetFormatPr defaultColWidth="8.6796875" defaultRowHeight="16.8" outlineLevelCol="5"/>
  <cols>
    <col min="1" max="1" width="2.5" customWidth="1"/>
    <col min="2" max="2" width="17.8359375" customWidth="1"/>
    <col min="3" max="3" width="20.046875" customWidth="1"/>
    <col min="4" max="4" width="30" customWidth="1"/>
    <col min="5" max="5" width="34" customWidth="1"/>
    <col min="6" max="6" width="18" customWidth="1"/>
  </cols>
  <sheetData>
    <row r="2" ht="33.75" customHeight="1" spans="2:6">
      <c r="B2" s="1" t="s">
        <v>48</v>
      </c>
    </row>
    <row r="3" ht="19.5" customHeight="1" spans="2:6">
      <c r="B3" s="2" t="s">
        <v>49</v>
      </c>
    </row>
    <row r="5" ht="24" customHeight="1" spans="2:6">
      <c r="B5" s="159" t="s">
        <v>50</v>
      </c>
      <c r="C5" s="14"/>
      <c r="D5" s="14"/>
      <c r="E5" s="14"/>
      <c r="F5" s="14"/>
    </row>
    <row r="6" ht="21" customHeight="1" spans="2:6">
      <c r="B6" s="160" t="s">
        <v>51</v>
      </c>
      <c r="C6" s="160" t="s">
        <v>52</v>
      </c>
      <c r="D6" s="160" t="s">
        <v>53</v>
      </c>
      <c r="E6" s="160" t="s">
        <v>54</v>
      </c>
      <c r="F6" s="160" t="s">
        <v>55</v>
      </c>
    </row>
    <row r="7" ht="21" customHeight="1" spans="2:6">
      <c r="B7" s="161" t="s">
        <v>56</v>
      </c>
      <c r="C7" s="6" t="s">
        <v>57</v>
      </c>
      <c r="D7" s="6" t="s">
        <v>58</v>
      </c>
      <c r="E7" s="6" t="s">
        <v>59</v>
      </c>
      <c r="F7" s="6" t="s">
        <v>60</v>
      </c>
    </row>
    <row r="8" ht="21" customHeight="1" spans="2:6">
      <c r="B8" s="162" t="s">
        <v>61</v>
      </c>
      <c r="C8" s="92" t="s">
        <v>62</v>
      </c>
      <c r="D8" s="92" t="s">
        <v>63</v>
      </c>
      <c r="E8" s="92" t="s">
        <v>64</v>
      </c>
      <c r="F8" s="96" t="s">
        <v>65</v>
      </c>
    </row>
    <row r="9" ht="21" customHeight="1" spans="2:6">
      <c r="B9" s="161" t="s">
        <v>66</v>
      </c>
      <c r="C9" s="6" t="s">
        <v>67</v>
      </c>
      <c r="D9" s="6" t="s">
        <v>68</v>
      </c>
      <c r="E9" s="163" t="s">
        <v>69</v>
      </c>
      <c r="F9" s="163" t="s">
        <v>70</v>
      </c>
    </row>
    <row r="10" ht="21" customHeight="1" spans="2:6">
      <c r="B10" s="162" t="s">
        <v>71</v>
      </c>
      <c r="C10" s="92" t="s">
        <v>72</v>
      </c>
      <c r="D10" s="92" t="s">
        <v>73</v>
      </c>
      <c r="E10" s="92" t="s">
        <v>74</v>
      </c>
      <c r="F10" s="96" t="s">
        <v>75</v>
      </c>
    </row>
    <row r="11" ht="21" customHeight="1" spans="2:6">
      <c r="B11" s="161" t="s">
        <v>76</v>
      </c>
      <c r="C11" s="6" t="s">
        <v>77</v>
      </c>
      <c r="D11" s="6" t="s">
        <v>78</v>
      </c>
      <c r="E11" s="6" t="s">
        <v>79</v>
      </c>
      <c r="F11" s="163" t="s">
        <v>80</v>
      </c>
    </row>
    <row r="12" ht="21" customHeight="1" spans="2:6">
      <c r="B12" s="162" t="s">
        <v>81</v>
      </c>
      <c r="C12" s="92" t="s">
        <v>82</v>
      </c>
      <c r="D12" s="92" t="s">
        <v>83</v>
      </c>
      <c r="E12" s="92" t="s">
        <v>84</v>
      </c>
      <c r="F12" s="96" t="s">
        <v>85</v>
      </c>
    </row>
    <row r="13" ht="21" customHeight="1" spans="2:6">
      <c r="B13" s="161" t="s">
        <v>86</v>
      </c>
      <c r="C13" s="6" t="s">
        <v>87</v>
      </c>
      <c r="D13" s="6" t="s">
        <v>88</v>
      </c>
      <c r="E13" s="6" t="s">
        <v>89</v>
      </c>
      <c r="F13" s="163" t="s">
        <v>90</v>
      </c>
    </row>
    <row r="14" ht="21" customHeight="1" spans="2:6">
      <c r="B14" s="162" t="s">
        <v>91</v>
      </c>
      <c r="C14" s="92" t="s">
        <v>92</v>
      </c>
      <c r="D14" s="92" t="s">
        <v>93</v>
      </c>
      <c r="E14" s="92" t="s">
        <v>94</v>
      </c>
      <c r="F14" s="96" t="s">
        <v>80</v>
      </c>
    </row>
    <row r="15" ht="21" customHeight="1" spans="2:6">
      <c r="B15" s="161" t="s">
        <v>95</v>
      </c>
      <c r="C15" s="6" t="s">
        <v>96</v>
      </c>
      <c r="D15" s="6" t="s">
        <v>97</v>
      </c>
      <c r="E15" s="6" t="s">
        <v>98</v>
      </c>
      <c r="F15" s="163" t="s">
        <v>99</v>
      </c>
    </row>
    <row r="17" ht="24" customHeight="1" spans="2:6">
      <c r="B17" s="159" t="s">
        <v>100</v>
      </c>
      <c r="C17" s="14"/>
      <c r="D17" s="14"/>
      <c r="E17" s="14"/>
      <c r="F17" s="14"/>
    </row>
    <row r="18" ht="21" customHeight="1" spans="2:6">
      <c r="B18" s="160" t="s">
        <v>101</v>
      </c>
      <c r="C18" s="160" t="s">
        <v>102</v>
      </c>
      <c r="D18" s="160" t="s">
        <v>103</v>
      </c>
      <c r="E18" s="160" t="s">
        <v>104</v>
      </c>
      <c r="F18" s="160" t="s">
        <v>105</v>
      </c>
    </row>
    <row r="19" ht="36" customHeight="1" spans="2:6">
      <c r="B19" s="161" t="s">
        <v>106</v>
      </c>
      <c r="C19" s="6" t="s">
        <v>107</v>
      </c>
      <c r="D19" s="6" t="s">
        <v>108</v>
      </c>
      <c r="E19" s="163" t="s">
        <v>109</v>
      </c>
      <c r="F19" s="6" t="s">
        <v>110</v>
      </c>
    </row>
    <row r="20" ht="36" customHeight="1" spans="2:6">
      <c r="B20" s="162" t="s">
        <v>27</v>
      </c>
      <c r="C20" s="92" t="s">
        <v>111</v>
      </c>
      <c r="D20" s="92" t="s">
        <v>112</v>
      </c>
      <c r="E20" s="96" t="s">
        <v>113</v>
      </c>
      <c r="F20" s="92" t="s">
        <v>114</v>
      </c>
    </row>
    <row r="21" ht="36" customHeight="1" spans="2:6">
      <c r="B21" s="161" t="s">
        <v>115</v>
      </c>
      <c r="C21" s="6" t="s">
        <v>116</v>
      </c>
      <c r="D21" s="6" t="s">
        <v>117</v>
      </c>
      <c r="E21" s="163" t="s">
        <v>118</v>
      </c>
      <c r="F21" s="6" t="s">
        <v>119</v>
      </c>
    </row>
    <row r="22" ht="36" customHeight="1" spans="2:6">
      <c r="B22" s="162" t="s">
        <v>120</v>
      </c>
      <c r="C22" s="92" t="s">
        <v>121</v>
      </c>
      <c r="D22" s="92" t="s">
        <v>122</v>
      </c>
      <c r="E22" s="96" t="s">
        <v>123</v>
      </c>
      <c r="F22" s="92" t="s">
        <v>124</v>
      </c>
    </row>
    <row r="23" ht="36" customHeight="1" spans="2:6">
      <c r="B23" s="161" t="s">
        <v>125</v>
      </c>
      <c r="C23" s="6" t="s">
        <v>126</v>
      </c>
      <c r="D23" s="6" t="s">
        <v>127</v>
      </c>
      <c r="E23" s="163" t="s">
        <v>128</v>
      </c>
      <c r="F23" s="6" t="s">
        <v>129</v>
      </c>
    </row>
    <row r="25" ht="24" customHeight="1" spans="2:6">
      <c r="B25" s="159" t="s">
        <v>130</v>
      </c>
      <c r="C25" s="14"/>
      <c r="D25" s="14"/>
      <c r="E25" s="14"/>
      <c r="F25" s="14"/>
    </row>
    <row r="26" ht="21" customHeight="1" spans="2:6">
      <c r="B26" s="160" t="s">
        <v>131</v>
      </c>
      <c r="C26" s="160" t="s">
        <v>132</v>
      </c>
      <c r="D26" s="164" t="s">
        <v>113</v>
      </c>
      <c r="E26" s="160" t="s">
        <v>133</v>
      </c>
      <c r="F26" s="160" t="s">
        <v>132</v>
      </c>
    </row>
    <row r="27" ht="21" customHeight="1" spans="2:6">
      <c r="B27" s="6" t="s">
        <v>134</v>
      </c>
      <c r="C27" s="161" t="s">
        <v>135</v>
      </c>
      <c r="D27" s="161"/>
      <c r="E27" s="6" t="s">
        <v>136</v>
      </c>
      <c r="F27" s="161" t="s">
        <v>137</v>
      </c>
    </row>
    <row r="28" ht="21" customHeight="1" spans="2:6">
      <c r="B28" s="92" t="s">
        <v>138</v>
      </c>
      <c r="C28" s="162" t="s">
        <v>139</v>
      </c>
      <c r="D28" s="162"/>
      <c r="E28" s="92" t="s">
        <v>140</v>
      </c>
      <c r="F28" s="162" t="s">
        <v>141</v>
      </c>
    </row>
    <row r="29" ht="21" customHeight="1" spans="2:6">
      <c r="B29" s="6" t="s">
        <v>142</v>
      </c>
      <c r="C29" s="161" t="s">
        <v>143</v>
      </c>
      <c r="D29" s="161"/>
      <c r="E29" s="6" t="s">
        <v>144</v>
      </c>
      <c r="F29" s="161" t="s">
        <v>145</v>
      </c>
    </row>
    <row r="30" ht="21" customHeight="1" spans="2:6">
      <c r="B30" s="92" t="s">
        <v>146</v>
      </c>
      <c r="C30" s="162" t="s">
        <v>147</v>
      </c>
      <c r="D30" s="162"/>
      <c r="E30" s="92" t="s">
        <v>148</v>
      </c>
      <c r="F30" s="162" t="s">
        <v>149</v>
      </c>
    </row>
    <row r="31" ht="21" customHeight="1" spans="2:6">
      <c r="B31" s="6" t="s">
        <v>150</v>
      </c>
      <c r="C31" s="161" t="s">
        <v>151</v>
      </c>
      <c r="D31" s="161"/>
      <c r="E31" s="6" t="s">
        <v>152</v>
      </c>
      <c r="F31" s="161" t="s">
        <v>153</v>
      </c>
    </row>
    <row r="33" ht="24" customHeight="1" spans="2:6">
      <c r="B33" s="159" t="s">
        <v>154</v>
      </c>
      <c r="C33" s="14"/>
      <c r="D33" s="14"/>
      <c r="E33" s="14"/>
      <c r="F33" s="14"/>
    </row>
    <row r="34" ht="21" customHeight="1" spans="2:6">
      <c r="B34" s="160" t="s">
        <v>155</v>
      </c>
      <c r="C34" s="160" t="s">
        <v>156</v>
      </c>
      <c r="D34" s="160" t="s">
        <v>157</v>
      </c>
      <c r="E34" s="160" t="s">
        <v>158</v>
      </c>
      <c r="F34" s="160"/>
    </row>
    <row r="35" ht="21" customHeight="1" spans="2:6">
      <c r="B35" s="163" t="s">
        <v>159</v>
      </c>
      <c r="C35" s="6" t="s">
        <v>160</v>
      </c>
      <c r="D35" s="6" t="s">
        <v>161</v>
      </c>
      <c r="E35" s="6" t="s">
        <v>162</v>
      </c>
      <c r="F35" s="161"/>
    </row>
    <row r="36" ht="21" customHeight="1" spans="2:6">
      <c r="B36" s="96" t="s">
        <v>163</v>
      </c>
      <c r="C36" s="92" t="s">
        <v>164</v>
      </c>
      <c r="D36" s="92" t="s">
        <v>165</v>
      </c>
      <c r="E36" s="92" t="s">
        <v>166</v>
      </c>
      <c r="F36" s="162"/>
    </row>
    <row r="37" ht="21" customHeight="1" spans="2:6">
      <c r="B37" s="163" t="s">
        <v>167</v>
      </c>
      <c r="C37" s="6" t="s">
        <v>168</v>
      </c>
      <c r="D37" s="6" t="s">
        <v>169</v>
      </c>
      <c r="E37" s="6" t="s">
        <v>170</v>
      </c>
      <c r="F37" s="161"/>
    </row>
    <row r="38" ht="21" customHeight="1" spans="2:6">
      <c r="B38" s="96" t="s">
        <v>171</v>
      </c>
      <c r="C38" s="92" t="s">
        <v>172</v>
      </c>
      <c r="D38" s="92" t="s">
        <v>173</v>
      </c>
      <c r="E38" s="92" t="s">
        <v>174</v>
      </c>
      <c r="F38" s="162"/>
    </row>
    <row r="40" ht="24" customHeight="1" spans="2:6">
      <c r="B40" s="159" t="s">
        <v>175</v>
      </c>
      <c r="C40" s="14"/>
      <c r="D40" s="14"/>
      <c r="E40" s="14"/>
      <c r="F40" s="14"/>
    </row>
    <row r="41" ht="21" customHeight="1" spans="2:6">
      <c r="B41" s="160" t="s">
        <v>176</v>
      </c>
      <c r="C41" s="164" t="s">
        <v>113</v>
      </c>
      <c r="D41" s="164" t="s">
        <v>113</v>
      </c>
      <c r="E41" s="160" t="s">
        <v>177</v>
      </c>
      <c r="F41" s="164" t="s">
        <v>113</v>
      </c>
    </row>
    <row r="42" ht="21" customHeight="1" spans="2:6">
      <c r="B42" s="6" t="s">
        <v>178</v>
      </c>
      <c r="C42" s="161"/>
      <c r="D42" s="161"/>
      <c r="E42" s="6" t="s">
        <v>179</v>
      </c>
      <c r="F42" s="161"/>
    </row>
    <row r="43" ht="21" customHeight="1" spans="2:6">
      <c r="B43" s="92" t="s">
        <v>180</v>
      </c>
      <c r="C43" s="162"/>
      <c r="D43" s="162"/>
      <c r="E43" s="92" t="s">
        <v>181</v>
      </c>
      <c r="F43" s="162"/>
    </row>
    <row r="44" ht="21" customHeight="1" spans="2:6">
      <c r="B44" s="6" t="s">
        <v>182</v>
      </c>
      <c r="C44" s="161"/>
      <c r="D44" s="161"/>
      <c r="E44" s="6" t="s">
        <v>183</v>
      </c>
      <c r="F44" s="161"/>
    </row>
    <row r="45" ht="21" customHeight="1" spans="2:6">
      <c r="B45" s="92" t="s">
        <v>184</v>
      </c>
      <c r="C45" s="162"/>
      <c r="D45" s="162"/>
      <c r="E45" s="92" t="s">
        <v>185</v>
      </c>
      <c r="F45" s="162"/>
    </row>
    <row r="46" ht="21" customHeight="1" spans="2:6">
      <c r="B46" s="6" t="s">
        <v>186</v>
      </c>
      <c r="C46" s="161"/>
      <c r="D46" s="161"/>
      <c r="E46" s="6" t="s">
        <v>187</v>
      </c>
      <c r="F46" s="161"/>
    </row>
  </sheetData>
  <mergeCells count="7">
    <mergeCell ref="B2:F2"/>
    <mergeCell ref="B3:F3"/>
    <mergeCell ref="B5:F5"/>
    <mergeCell ref="B17:F17"/>
    <mergeCell ref="B25:F25"/>
    <mergeCell ref="B33:F33"/>
    <mergeCell ref="B40:F40"/>
  </mergeCells>
  <printOptions horizontalCentered="1"/>
  <pageMargins left="0.3" right="0.3" top="0.4" bottom="0.4" header="0.511811023622047" footer="0.511811023622047"/>
  <pageSetup paperSize="1" fitToHeight="0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F20"/>
  <sheetViews>
    <sheetView showGridLines="0" zoomScale="120" zoomScaleNormal="120" workbookViewId="0">
      <selection activeCell="D10" sqref="D10"/>
    </sheetView>
  </sheetViews>
  <sheetFormatPr defaultColWidth="8.6796875" defaultRowHeight="16.8" outlineLevelCol="5"/>
  <cols>
    <col min="1" max="1" width="2.5" customWidth="1"/>
    <col min="2" max="2" width="16" customWidth="1"/>
    <col min="3" max="6" width="38" customWidth="1"/>
  </cols>
  <sheetData>
    <row r="2" ht="33.75" customHeight="1" spans="2:6">
      <c r="B2" s="1" t="s">
        <v>188</v>
      </c>
    </row>
    <row r="3" ht="19.5" customHeight="1" spans="2:6">
      <c r="B3" s="2" t="s">
        <v>189</v>
      </c>
    </row>
    <row r="5" ht="34" customHeight="1" spans="2:6">
      <c r="B5" s="139" t="s">
        <v>190</v>
      </c>
      <c r="C5" s="145" t="s">
        <v>191</v>
      </c>
      <c r="D5" s="146" t="s">
        <v>192</v>
      </c>
      <c r="E5" s="147" t="s">
        <v>193</v>
      </c>
      <c r="F5" s="148" t="s">
        <v>194</v>
      </c>
    </row>
    <row r="6" ht="21" customHeight="1" spans="2:6">
      <c r="B6" s="82" t="s">
        <v>195</v>
      </c>
      <c r="C6" s="149" t="s">
        <v>196</v>
      </c>
      <c r="D6" s="150" t="s">
        <v>197</v>
      </c>
      <c r="E6" s="151" t="s">
        <v>198</v>
      </c>
      <c r="F6" s="152" t="s">
        <v>199</v>
      </c>
    </row>
    <row r="7" ht="66" customHeight="1" spans="2:6">
      <c r="B7" s="82" t="s">
        <v>200</v>
      </c>
      <c r="C7" s="149" t="s">
        <v>201</v>
      </c>
      <c r="D7" s="150" t="s">
        <v>202</v>
      </c>
      <c r="E7" s="151" t="s">
        <v>203</v>
      </c>
      <c r="F7" s="152" t="s">
        <v>204</v>
      </c>
    </row>
    <row r="8" ht="81" customHeight="1" spans="2:6">
      <c r="B8" s="82" t="s">
        <v>205</v>
      </c>
      <c r="C8" s="153" t="s">
        <v>206</v>
      </c>
      <c r="D8" s="154" t="s">
        <v>207</v>
      </c>
      <c r="E8" s="28" t="s">
        <v>208</v>
      </c>
      <c r="F8" s="155" t="s">
        <v>209</v>
      </c>
    </row>
    <row r="9" ht="51" customHeight="1" spans="2:6">
      <c r="B9" s="82" t="s">
        <v>210</v>
      </c>
      <c r="C9" s="149" t="s">
        <v>211</v>
      </c>
      <c r="D9" s="156" t="s">
        <v>212</v>
      </c>
      <c r="E9" s="151" t="s">
        <v>213</v>
      </c>
      <c r="F9" s="152" t="s">
        <v>214</v>
      </c>
    </row>
    <row r="10" ht="51" customHeight="1" spans="2:6">
      <c r="B10" s="157" t="s">
        <v>215</v>
      </c>
      <c r="C10" s="153" t="s">
        <v>216</v>
      </c>
      <c r="D10" s="158" t="s">
        <v>217</v>
      </c>
      <c r="E10" s="28" t="s">
        <v>218</v>
      </c>
      <c r="F10" s="155" t="s">
        <v>219</v>
      </c>
    </row>
    <row r="11" ht="51" customHeight="1" spans="2:6">
      <c r="B11" s="157" t="s">
        <v>220</v>
      </c>
      <c r="C11" s="149" t="s">
        <v>221</v>
      </c>
      <c r="D11" s="156" t="s">
        <v>222</v>
      </c>
      <c r="E11" s="151" t="s">
        <v>223</v>
      </c>
      <c r="F11" s="152" t="s">
        <v>224</v>
      </c>
    </row>
    <row r="12" ht="36" customHeight="1" spans="2:6">
      <c r="B12" s="157" t="s">
        <v>225</v>
      </c>
      <c r="C12" s="153" t="s">
        <v>226</v>
      </c>
      <c r="D12" s="158" t="s">
        <v>227</v>
      </c>
      <c r="E12" s="28" t="s">
        <v>228</v>
      </c>
      <c r="F12" s="155" t="s">
        <v>229</v>
      </c>
    </row>
    <row r="13" ht="36" customHeight="1" spans="2:6">
      <c r="B13" s="157" t="s">
        <v>230</v>
      </c>
      <c r="C13" s="149" t="s">
        <v>231</v>
      </c>
      <c r="D13" s="156" t="s">
        <v>232</v>
      </c>
      <c r="E13" s="151" t="s">
        <v>233</v>
      </c>
      <c r="F13" s="152" t="s">
        <v>234</v>
      </c>
    </row>
    <row r="14" ht="51" customHeight="1" spans="2:6">
      <c r="B14" s="157" t="s">
        <v>235</v>
      </c>
      <c r="C14" s="153" t="s">
        <v>236</v>
      </c>
      <c r="D14" s="158" t="s">
        <v>237</v>
      </c>
      <c r="E14" s="28" t="s">
        <v>238</v>
      </c>
      <c r="F14" s="155" t="s">
        <v>239</v>
      </c>
    </row>
    <row r="15" ht="51" customHeight="1" spans="2:6">
      <c r="B15" s="82" t="s">
        <v>240</v>
      </c>
      <c r="C15" s="149" t="s">
        <v>241</v>
      </c>
      <c r="D15" s="156" t="s">
        <v>242</v>
      </c>
      <c r="E15" s="151" t="s">
        <v>243</v>
      </c>
      <c r="F15" s="152" t="s">
        <v>244</v>
      </c>
    </row>
    <row r="16" ht="66" customHeight="1" spans="2:6">
      <c r="B16" s="82" t="s">
        <v>245</v>
      </c>
      <c r="C16" s="153" t="s">
        <v>246</v>
      </c>
      <c r="D16" s="158" t="s">
        <v>247</v>
      </c>
      <c r="E16" s="28" t="s">
        <v>248</v>
      </c>
      <c r="F16" s="155" t="s">
        <v>249</v>
      </c>
    </row>
    <row r="17" ht="81" customHeight="1" spans="2:6">
      <c r="B17" s="82" t="s">
        <v>250</v>
      </c>
      <c r="C17" s="149" t="s">
        <v>251</v>
      </c>
      <c r="D17" s="156" t="s">
        <v>252</v>
      </c>
      <c r="E17" s="151" t="s">
        <v>253</v>
      </c>
      <c r="F17" s="152" t="s">
        <v>254</v>
      </c>
    </row>
    <row r="18" ht="51" customHeight="1" spans="2:6">
      <c r="B18" s="82" t="s">
        <v>255</v>
      </c>
      <c r="C18" s="153" t="s">
        <v>256</v>
      </c>
      <c r="D18" s="158" t="s">
        <v>257</v>
      </c>
      <c r="E18" s="28" t="s">
        <v>258</v>
      </c>
      <c r="F18" s="155" t="s">
        <v>259</v>
      </c>
    </row>
    <row r="19" ht="66" customHeight="1" spans="2:6">
      <c r="B19" s="82" t="s">
        <v>260</v>
      </c>
      <c r="C19" s="149" t="s">
        <v>261</v>
      </c>
      <c r="D19" s="156" t="s">
        <v>262</v>
      </c>
      <c r="E19" s="151" t="s">
        <v>263</v>
      </c>
      <c r="F19" s="152" t="s">
        <v>264</v>
      </c>
    </row>
    <row r="20" ht="126" customHeight="1" spans="2:6">
      <c r="B20" s="82" t="s">
        <v>265</v>
      </c>
      <c r="C20" s="153" t="s">
        <v>266</v>
      </c>
      <c r="D20" s="158" t="s">
        <v>267</v>
      </c>
      <c r="E20" s="28" t="s">
        <v>268</v>
      </c>
      <c r="F20" s="155" t="s">
        <v>269</v>
      </c>
    </row>
  </sheetData>
  <mergeCells count="2">
    <mergeCell ref="B2:F2"/>
    <mergeCell ref="B3:F3"/>
  </mergeCells>
  <printOptions horizontalCentered="1"/>
  <pageMargins left="0.3" right="0.3" top="0.4" bottom="0.4" header="0.511811023622047" footer="0.511811023622047"/>
  <pageSetup paperSize="1" fitToHeight="0" orientation="landscape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G24"/>
  <sheetViews>
    <sheetView showGridLines="0" tabSelected="1" workbookViewId="0">
      <selection activeCell="D7" sqref="D7"/>
    </sheetView>
  </sheetViews>
  <sheetFormatPr defaultColWidth="8.6796875" defaultRowHeight="16.8" outlineLevelCol="6"/>
  <cols>
    <col min="1" max="1" width="2.5" customWidth="1"/>
    <col min="2" max="2" width="11" customWidth="1"/>
    <col min="3" max="3" width="6" customWidth="1"/>
    <col min="4" max="4" width="28" customWidth="1"/>
    <col min="5" max="5" width="74" customWidth="1"/>
    <col min="6" max="6" width="20" customWidth="1"/>
    <col min="7" max="7" width="8" customWidth="1"/>
  </cols>
  <sheetData>
    <row r="2" ht="33.75" customHeight="1" spans="2:7">
      <c r="B2" s="1" t="s">
        <v>270</v>
      </c>
    </row>
    <row r="3" ht="19.5" customHeight="1" spans="2:7">
      <c r="B3" s="37" t="s">
        <v>271</v>
      </c>
    </row>
    <row r="5" ht="24" customHeight="1" spans="2:7">
      <c r="B5" s="3" t="s">
        <v>272</v>
      </c>
      <c r="C5" s="3" t="s">
        <v>273</v>
      </c>
      <c r="D5" s="3" t="s">
        <v>274</v>
      </c>
      <c r="E5" s="3" t="s">
        <v>275</v>
      </c>
      <c r="F5" s="3" t="s">
        <v>276</v>
      </c>
      <c r="G5" s="3" t="s">
        <v>277</v>
      </c>
    </row>
    <row r="6" ht="81" customHeight="1" spans="2:7">
      <c r="B6" s="119" t="s">
        <v>278</v>
      </c>
      <c r="C6" s="85" t="s">
        <v>279</v>
      </c>
      <c r="D6" s="120" t="s">
        <v>280</v>
      </c>
      <c r="E6" s="121" t="s">
        <v>281</v>
      </c>
      <c r="F6" s="122" t="s">
        <v>282</v>
      </c>
      <c r="G6" s="123">
        <v>10</v>
      </c>
    </row>
    <row r="7" ht="81" customHeight="1" spans="2:7">
      <c r="B7" s="90"/>
      <c r="C7" s="91" t="s">
        <v>85</v>
      </c>
      <c r="D7" s="124" t="s">
        <v>283</v>
      </c>
      <c r="E7" s="125" t="s">
        <v>284</v>
      </c>
      <c r="F7" s="126" t="s">
        <v>285</v>
      </c>
      <c r="G7" s="127">
        <v>5</v>
      </c>
    </row>
    <row r="8" ht="36" customHeight="1" spans="2:7">
      <c r="B8" s="90"/>
      <c r="C8" s="85" t="s">
        <v>286</v>
      </c>
      <c r="D8" s="120" t="s">
        <v>287</v>
      </c>
      <c r="E8" s="128" t="s">
        <v>288</v>
      </c>
      <c r="F8" s="129" t="s">
        <v>289</v>
      </c>
      <c r="G8" s="123">
        <v>5</v>
      </c>
    </row>
    <row r="9" ht="51" customHeight="1" spans="2:7">
      <c r="B9" s="90"/>
      <c r="C9" s="91" t="s">
        <v>290</v>
      </c>
      <c r="D9" s="124" t="s">
        <v>291</v>
      </c>
      <c r="E9" s="125" t="s">
        <v>292</v>
      </c>
      <c r="F9" s="126" t="s">
        <v>293</v>
      </c>
      <c r="G9" s="127">
        <v>5</v>
      </c>
    </row>
    <row r="10" ht="36" customHeight="1" spans="2:7">
      <c r="B10" s="90"/>
      <c r="C10" s="85" t="s">
        <v>294</v>
      </c>
      <c r="D10" s="120" t="s">
        <v>295</v>
      </c>
      <c r="E10" s="128" t="s">
        <v>296</v>
      </c>
      <c r="F10" s="129" t="s">
        <v>297</v>
      </c>
      <c r="G10" s="123">
        <v>5</v>
      </c>
    </row>
    <row r="11" ht="36" customHeight="1" spans="2:7">
      <c r="B11" s="95"/>
      <c r="C11" s="91" t="s">
        <v>298</v>
      </c>
      <c r="D11" s="130" t="s">
        <v>299</v>
      </c>
      <c r="E11" s="125" t="s">
        <v>300</v>
      </c>
      <c r="F11" s="126" t="s">
        <v>301</v>
      </c>
      <c r="G11" s="127">
        <v>5</v>
      </c>
    </row>
    <row r="12" ht="51" customHeight="1" spans="2:7">
      <c r="B12" s="131" t="s">
        <v>302</v>
      </c>
      <c r="C12" s="85" t="s">
        <v>75</v>
      </c>
      <c r="D12" s="120" t="s">
        <v>303</v>
      </c>
      <c r="E12" s="128" t="s">
        <v>304</v>
      </c>
      <c r="F12" s="129" t="s">
        <v>305</v>
      </c>
      <c r="G12" s="123">
        <v>5</v>
      </c>
    </row>
    <row r="13" ht="141" customHeight="1" spans="2:7">
      <c r="B13" s="90"/>
      <c r="C13" s="91" t="s">
        <v>306</v>
      </c>
      <c r="D13" s="124" t="s">
        <v>307</v>
      </c>
      <c r="E13" s="125" t="s">
        <v>308</v>
      </c>
      <c r="F13" s="126" t="s">
        <v>309</v>
      </c>
      <c r="G13" s="127">
        <v>10</v>
      </c>
    </row>
    <row r="14" ht="126" customHeight="1" spans="2:7">
      <c r="B14" s="90"/>
      <c r="C14" s="85" t="s">
        <v>310</v>
      </c>
      <c r="D14" s="120" t="s">
        <v>311</v>
      </c>
      <c r="E14" s="121" t="s">
        <v>312</v>
      </c>
      <c r="F14" s="129" t="s">
        <v>313</v>
      </c>
      <c r="G14" s="123">
        <v>20</v>
      </c>
    </row>
    <row r="15" ht="81" customHeight="1" spans="2:7">
      <c r="B15" s="95"/>
      <c r="C15" s="91" t="s">
        <v>314</v>
      </c>
      <c r="D15" s="124" t="s">
        <v>315</v>
      </c>
      <c r="E15" s="125" t="s">
        <v>316</v>
      </c>
      <c r="F15" s="132" t="s">
        <v>317</v>
      </c>
      <c r="G15" s="127">
        <v>10</v>
      </c>
    </row>
    <row r="16" ht="51" customHeight="1" spans="2:7">
      <c r="B16" s="133" t="s">
        <v>318</v>
      </c>
      <c r="C16" s="134" t="s">
        <v>319</v>
      </c>
      <c r="D16" s="135" t="s">
        <v>320</v>
      </c>
      <c r="E16" s="136" t="s">
        <v>321</v>
      </c>
      <c r="F16" s="137" t="s">
        <v>313</v>
      </c>
      <c r="G16" s="138">
        <v>20</v>
      </c>
    </row>
    <row r="17" ht="15" customHeight="1" spans="2:7">
      <c r="B17" s="139" t="s">
        <v>322</v>
      </c>
      <c r="C17" s="140" t="s">
        <v>323</v>
      </c>
      <c r="D17" s="14"/>
      <c r="E17" s="14"/>
      <c r="F17" s="15"/>
      <c r="G17" s="141">
        <v>100</v>
      </c>
    </row>
    <row r="19" ht="24" customHeight="1" spans="2:7">
      <c r="B19" s="142" t="s">
        <v>324</v>
      </c>
      <c r="C19" s="14"/>
      <c r="D19" s="14"/>
      <c r="E19" s="14"/>
      <c r="F19" s="14"/>
      <c r="G19" s="14"/>
    </row>
    <row r="20" ht="36" customHeight="1" spans="2:7">
      <c r="B20" s="143" t="s">
        <v>325</v>
      </c>
      <c r="C20" s="15"/>
      <c r="D20" s="6" t="s">
        <v>326</v>
      </c>
      <c r="E20" s="14"/>
      <c r="F20" s="14"/>
      <c r="G20" s="15"/>
    </row>
    <row r="21" ht="30" customHeight="1" spans="2:7">
      <c r="B21" s="12" t="s">
        <v>327</v>
      </c>
      <c r="C21" s="15"/>
      <c r="D21" s="144" t="s">
        <v>328</v>
      </c>
      <c r="E21" s="14"/>
      <c r="F21" s="14"/>
      <c r="G21" s="15"/>
    </row>
    <row r="23" ht="24" customHeight="1" spans="2:7">
      <c r="B23" s="142" t="s">
        <v>329</v>
      </c>
      <c r="C23" s="14"/>
      <c r="D23" s="14"/>
      <c r="E23" s="14"/>
      <c r="F23" s="14"/>
      <c r="G23" s="14"/>
    </row>
    <row r="24" ht="31.5" customHeight="1" spans="2:7">
      <c r="B24" s="6" t="s">
        <v>330</v>
      </c>
      <c r="C24" s="14"/>
      <c r="D24" s="14"/>
      <c r="E24" s="14"/>
      <c r="F24" s="14"/>
      <c r="G24" s="15"/>
    </row>
  </sheetData>
  <mergeCells count="12">
    <mergeCell ref="B2:G2"/>
    <mergeCell ref="B3:G3"/>
    <mergeCell ref="C17:F17"/>
    <mergeCell ref="B19:G19"/>
    <mergeCell ref="B20:C20"/>
    <mergeCell ref="D20:G20"/>
    <mergeCell ref="B21:C21"/>
    <mergeCell ref="D21:G21"/>
    <mergeCell ref="B23:G23"/>
    <mergeCell ref="B24:G24"/>
    <mergeCell ref="B6:B11"/>
    <mergeCell ref="B12:B15"/>
  </mergeCells>
  <printOptions horizontalCentered="1"/>
  <pageMargins left="0.3" right="0.3" top="0.4" bottom="0.4" header="0.511811023622047" footer="0.511811023622047"/>
  <pageSetup paperSize="1" fitToHeight="0" orientation="landscape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H32"/>
  <sheetViews>
    <sheetView showGridLines="0" topLeftCell="A10" workbookViewId="0">
      <selection activeCell="C32" sqref="C32:H32"/>
    </sheetView>
  </sheetViews>
  <sheetFormatPr defaultColWidth="8.6796875" defaultRowHeight="16.8" outlineLevelCol="7"/>
  <cols>
    <col min="1" max="1" width="2.5" customWidth="1"/>
    <col min="2" max="2" width="10" customWidth="1"/>
    <col min="3" max="3" width="7" customWidth="1"/>
    <col min="4" max="4" width="26" customWidth="1"/>
    <col min="5" max="5" width="7" customWidth="1"/>
    <col min="6" max="6" width="10" customWidth="1"/>
    <col min="7" max="7" width="42" customWidth="1"/>
    <col min="8" max="8" width="28" customWidth="1"/>
  </cols>
  <sheetData>
    <row r="2" ht="33.75" customHeight="1" spans="2:8">
      <c r="B2" s="1" t="s">
        <v>331</v>
      </c>
    </row>
    <row r="3" ht="19.5" customHeight="1" spans="2:8">
      <c r="B3" s="2" t="s">
        <v>332</v>
      </c>
    </row>
    <row r="5" ht="21.75" customHeight="1" spans="2:8">
      <c r="B5" s="82" t="s">
        <v>333</v>
      </c>
      <c r="C5" s="83"/>
      <c r="D5" s="15"/>
      <c r="E5" s="82" t="s">
        <v>334</v>
      </c>
      <c r="F5" s="83"/>
      <c r="G5" s="14"/>
      <c r="H5" s="15"/>
    </row>
    <row r="6" ht="21.75" customHeight="1" spans="2:8">
      <c r="B6" s="82" t="s">
        <v>335</v>
      </c>
      <c r="C6" s="83"/>
      <c r="D6" s="15"/>
      <c r="E6" s="82" t="s">
        <v>336</v>
      </c>
      <c r="F6" s="83"/>
      <c r="G6" s="14"/>
      <c r="H6" s="15"/>
    </row>
    <row r="7" ht="21.75" customHeight="1" spans="2:8">
      <c r="B7" s="82" t="s">
        <v>337</v>
      </c>
      <c r="C7" s="83"/>
      <c r="D7" s="15"/>
      <c r="E7" s="82" t="s">
        <v>338</v>
      </c>
      <c r="F7" s="83"/>
      <c r="G7" s="14"/>
      <c r="H7" s="15"/>
    </row>
    <row r="8" ht="21.75" customHeight="1" spans="2:8">
      <c r="B8" s="82" t="s">
        <v>339</v>
      </c>
      <c r="C8" s="83"/>
      <c r="D8" s="15"/>
      <c r="E8" s="82" t="s">
        <v>340</v>
      </c>
      <c r="F8" s="83"/>
      <c r="G8" s="14"/>
      <c r="H8" s="15"/>
    </row>
    <row r="10" ht="21.75" customHeight="1" spans="2:8">
      <c r="B10" s="3" t="s">
        <v>272</v>
      </c>
      <c r="C10" s="3" t="s">
        <v>273</v>
      </c>
      <c r="D10" s="3" t="s">
        <v>274</v>
      </c>
      <c r="E10" s="3" t="s">
        <v>341</v>
      </c>
      <c r="F10" s="3" t="s">
        <v>342</v>
      </c>
      <c r="G10" s="3" t="s">
        <v>343</v>
      </c>
      <c r="H10" s="3" t="s">
        <v>344</v>
      </c>
    </row>
    <row r="11" ht="36" customHeight="1" spans="2:8">
      <c r="B11" s="84" t="s">
        <v>345</v>
      </c>
      <c r="C11" s="85" t="s">
        <v>279</v>
      </c>
      <c r="D11" s="6" t="s">
        <v>346</v>
      </c>
      <c r="E11" s="86">
        <v>10</v>
      </c>
      <c r="F11" s="87"/>
      <c r="G11" s="88" t="s">
        <v>347</v>
      </c>
      <c r="H11" s="89"/>
    </row>
    <row r="12" ht="21" customHeight="1" spans="2:8">
      <c r="B12" s="90"/>
      <c r="C12" s="91" t="s">
        <v>85</v>
      </c>
      <c r="D12" s="92" t="s">
        <v>348</v>
      </c>
      <c r="E12" s="93">
        <v>5</v>
      </c>
      <c r="F12" s="87"/>
      <c r="G12" s="94" t="s">
        <v>349</v>
      </c>
      <c r="H12" s="89"/>
    </row>
    <row r="13" ht="36" customHeight="1" spans="2:8">
      <c r="B13" s="90"/>
      <c r="C13" s="85" t="s">
        <v>286</v>
      </c>
      <c r="D13" s="6" t="s">
        <v>350</v>
      </c>
      <c r="E13" s="86">
        <v>5</v>
      </c>
      <c r="F13" s="87"/>
      <c r="G13" s="88" t="s">
        <v>351</v>
      </c>
      <c r="H13" s="89"/>
    </row>
    <row r="14" ht="21" customHeight="1" spans="2:8">
      <c r="B14" s="90"/>
      <c r="C14" s="91" t="s">
        <v>290</v>
      </c>
      <c r="D14" s="92" t="s">
        <v>352</v>
      </c>
      <c r="E14" s="93">
        <v>5</v>
      </c>
      <c r="F14" s="87"/>
      <c r="G14" s="94" t="s">
        <v>353</v>
      </c>
      <c r="H14" s="89"/>
    </row>
    <row r="15" ht="21" customHeight="1" spans="2:8">
      <c r="B15" s="90"/>
      <c r="C15" s="85" t="s">
        <v>294</v>
      </c>
      <c r="D15" s="6" t="s">
        <v>354</v>
      </c>
      <c r="E15" s="86">
        <v>5</v>
      </c>
      <c r="F15" s="87"/>
      <c r="G15" s="88" t="s">
        <v>355</v>
      </c>
      <c r="H15" s="89"/>
    </row>
    <row r="16" ht="21" customHeight="1" spans="2:8">
      <c r="B16" s="95"/>
      <c r="C16" s="91" t="s">
        <v>298</v>
      </c>
      <c r="D16" s="96" t="s">
        <v>356</v>
      </c>
      <c r="E16" s="93">
        <v>5</v>
      </c>
      <c r="F16" s="87"/>
      <c r="G16" s="94" t="s">
        <v>357</v>
      </c>
      <c r="H16" s="89"/>
    </row>
    <row r="17" ht="36" customHeight="1" spans="2:8">
      <c r="B17" s="41" t="s">
        <v>358</v>
      </c>
      <c r="C17" s="85" t="s">
        <v>75</v>
      </c>
      <c r="D17" s="6" t="s">
        <v>303</v>
      </c>
      <c r="E17" s="86">
        <v>5</v>
      </c>
      <c r="F17" s="87"/>
      <c r="G17" s="88" t="s">
        <v>359</v>
      </c>
      <c r="H17" s="89"/>
    </row>
    <row r="18" ht="36" customHeight="1" spans="2:8">
      <c r="B18" s="90"/>
      <c r="C18" s="91" t="s">
        <v>306</v>
      </c>
      <c r="D18" s="92" t="s">
        <v>307</v>
      </c>
      <c r="E18" s="93">
        <v>10</v>
      </c>
      <c r="F18" s="87"/>
      <c r="G18" s="94" t="s">
        <v>360</v>
      </c>
      <c r="H18" s="89"/>
    </row>
    <row r="19" ht="36" customHeight="1" spans="2:8">
      <c r="B19" s="90"/>
      <c r="C19" s="85" t="s">
        <v>310</v>
      </c>
      <c r="D19" s="6" t="s">
        <v>361</v>
      </c>
      <c r="E19" s="86">
        <v>20</v>
      </c>
      <c r="F19" s="87"/>
      <c r="G19" s="97" t="s">
        <v>362</v>
      </c>
      <c r="H19" s="89"/>
    </row>
    <row r="20" ht="21" customHeight="1" spans="2:8">
      <c r="B20" s="95"/>
      <c r="C20" s="91" t="s">
        <v>314</v>
      </c>
      <c r="D20" s="92" t="s">
        <v>363</v>
      </c>
      <c r="E20" s="93">
        <v>10</v>
      </c>
      <c r="F20" s="87"/>
      <c r="G20" s="98" t="s">
        <v>364</v>
      </c>
      <c r="H20" s="89"/>
    </row>
    <row r="21" ht="36" customHeight="1" spans="2:8">
      <c r="B21" s="99" t="s">
        <v>365</v>
      </c>
      <c r="C21" s="85" t="s">
        <v>319</v>
      </c>
      <c r="D21" s="6" t="s">
        <v>366</v>
      </c>
      <c r="E21" s="86">
        <v>20</v>
      </c>
      <c r="F21" s="87"/>
      <c r="G21" s="97" t="s">
        <v>362</v>
      </c>
      <c r="H21" s="89"/>
    </row>
    <row r="22" ht="19.5" customHeight="1" spans="2:8">
      <c r="B22" s="100" t="s">
        <v>367</v>
      </c>
      <c r="C22" s="14"/>
      <c r="D22" s="15"/>
      <c r="E22" s="101">
        <v>35</v>
      </c>
      <c r="F22" s="102">
        <f>SUM(F11:F16)</f>
        <v>0</v>
      </c>
      <c r="G22" s="103"/>
      <c r="H22" s="15"/>
    </row>
    <row r="23" ht="19.5" customHeight="1" spans="2:8">
      <c r="B23" s="104" t="s">
        <v>368</v>
      </c>
      <c r="C23" s="14"/>
      <c r="D23" s="15"/>
      <c r="E23" s="105">
        <v>45</v>
      </c>
      <c r="F23" s="106">
        <f>SUM(F17:F20)</f>
        <v>0</v>
      </c>
      <c r="G23" s="107"/>
      <c r="H23" s="15"/>
    </row>
    <row r="24" ht="19.5" customHeight="1" spans="2:8">
      <c r="B24" s="108" t="s">
        <v>369</v>
      </c>
      <c r="C24" s="14"/>
      <c r="D24" s="15"/>
      <c r="E24" s="109">
        <v>20</v>
      </c>
      <c r="F24" s="110">
        <f>F21</f>
        <v>0</v>
      </c>
      <c r="G24" s="35"/>
      <c r="H24" s="15"/>
    </row>
    <row r="25" ht="25.5" customHeight="1" spans="2:8">
      <c r="B25" s="111" t="s">
        <v>370</v>
      </c>
      <c r="C25" s="14"/>
      <c r="D25" s="15"/>
      <c r="E25" s="112">
        <v>100</v>
      </c>
      <c r="F25" s="113">
        <f>SUM(F11:F16)+SUM(F17:F20)+F21</f>
        <v>0</v>
      </c>
      <c r="G25" s="114" t="s">
        <v>371</v>
      </c>
      <c r="H25" s="15"/>
    </row>
    <row r="27" ht="24" customHeight="1" spans="2:8">
      <c r="B27" s="115" t="s">
        <v>372</v>
      </c>
      <c r="C27" s="14"/>
      <c r="D27" s="14"/>
      <c r="E27" s="14"/>
      <c r="F27" s="14"/>
      <c r="G27" s="14"/>
      <c r="H27" s="14"/>
    </row>
    <row r="28" ht="24" customHeight="1" spans="2:8">
      <c r="B28" s="116" t="s">
        <v>373</v>
      </c>
      <c r="C28" s="117">
        <f>F25/100</f>
        <v>0</v>
      </c>
      <c r="D28" s="14"/>
      <c r="E28" s="14"/>
      <c r="F28" s="14"/>
      <c r="G28" s="14"/>
      <c r="H28" s="15"/>
    </row>
    <row r="29" ht="24" customHeight="1" spans="2:8">
      <c r="B29" s="116" t="s">
        <v>374</v>
      </c>
      <c r="C29" s="118" t="str">
        <f>IF(F25&gt;=75,"绝对优势 · 可承诺",IF(F25&gt;=50,"相对优势 · 可争取",IF(F25&gt;=25,"相对劣势 · 可参与","绝对劣势 · 重新复盘")))</f>
        <v>绝对劣势 · 重新复盘</v>
      </c>
      <c r="D29" s="14"/>
      <c r="E29" s="14"/>
      <c r="F29" s="14"/>
      <c r="G29" s="14"/>
      <c r="H29" s="15"/>
    </row>
    <row r="30" ht="24" customHeight="1" spans="2:8">
      <c r="B30" s="116" t="s">
        <v>375</v>
      </c>
      <c r="C30" s="118" t="str">
        <f>IF(F25&gt;=75,"锁定签约、控制节奏，防止节外生枝",IF(F25&gt;=50,"制定规则/加速进度/总包绑定，扩大优势",IF(F25&gt;=25,"改变规则(A变B或A变A±1)/减速拖延/拆包，补齐 P3/1K 缺口","重新复盘：放弃或养单，优先补 C1/C2/D 的关系")))</f>
        <v>重新复盘：放弃或养单，优先补 C1/C2/D 的关系</v>
      </c>
      <c r="D30" s="14"/>
      <c r="E30" s="14"/>
      <c r="F30" s="14"/>
      <c r="G30" s="14"/>
      <c r="H30" s="15"/>
    </row>
    <row r="32" ht="30" customHeight="1" spans="2:8">
      <c r="B32" s="54" t="s">
        <v>376</v>
      </c>
      <c r="C32" s="35" t="s">
        <v>377</v>
      </c>
      <c r="D32" s="14"/>
      <c r="E32" s="14"/>
      <c r="F32" s="14"/>
      <c r="G32" s="14"/>
      <c r="H32" s="15"/>
    </row>
  </sheetData>
  <mergeCells count="25">
    <mergeCell ref="B2:H2"/>
    <mergeCell ref="B3:H3"/>
    <mergeCell ref="C5:D5"/>
    <mergeCell ref="F5:H5"/>
    <mergeCell ref="C6:D6"/>
    <mergeCell ref="F6:H6"/>
    <mergeCell ref="C7:D7"/>
    <mergeCell ref="F7:H7"/>
    <mergeCell ref="C8:D8"/>
    <mergeCell ref="F8:H8"/>
    <mergeCell ref="B22:D22"/>
    <mergeCell ref="G22:H22"/>
    <mergeCell ref="B23:D23"/>
    <mergeCell ref="G23:H23"/>
    <mergeCell ref="B24:D24"/>
    <mergeCell ref="G24:H24"/>
    <mergeCell ref="B25:D25"/>
    <mergeCell ref="G25:H25"/>
    <mergeCell ref="B27:H27"/>
    <mergeCell ref="C28:H28"/>
    <mergeCell ref="C29:H29"/>
    <mergeCell ref="C30:H30"/>
    <mergeCell ref="C32:H32"/>
    <mergeCell ref="B11:B16"/>
    <mergeCell ref="B17:B20"/>
  </mergeCells>
  <dataValidations count="13">
    <dataValidation type="list" allowBlank="1" sqref="C6">
      <formula1>"五大六小央企能源集团,央国企电力建设集团,地方/民营能源投资建设企业"</formula1>
    </dataValidation>
    <dataValidation type="list" allowBlank="1" sqref="F6">
      <formula1>"需求调研立项,方案/可研编制上报,预算(概算)批复/资金申报,招标方案论证,招采执行,已中标"</formula1>
    </dataValidation>
    <dataValidation type="whole" operator="between" allowBlank="1" errorTitle="超出范围" error="C1 自评得分应在 0 到 10 之间" sqref="F11">
      <formula1>0</formula1>
      <formula2>10</formula2>
    </dataValidation>
    <dataValidation type="whole" operator="between" allowBlank="1" errorTitle="超出范围" error="C2 自评得分应在 0 到 5 之间" sqref="F12">
      <formula1>0</formula1>
      <formula2>5</formula2>
    </dataValidation>
    <dataValidation type="whole" operator="between" allowBlank="1" errorTitle="超出范围" error="C3 自评得分应在 0 到 5 之间" sqref="F13">
      <formula1>0</formula1>
      <formula2>5</formula2>
    </dataValidation>
    <dataValidation type="whole" operator="between" allowBlank="1" errorTitle="超出范围" error="C4 自评得分应在 0 到 5 之间" sqref="F14">
      <formula1>0</formula1>
      <formula2>5</formula2>
    </dataValidation>
    <dataValidation type="whole" operator="between" allowBlank="1" errorTitle="超出范围" error="C5 自评得分应在 0 到 5 之间" sqref="F15">
      <formula1>0</formula1>
      <formula2>5</formula2>
    </dataValidation>
    <dataValidation type="whole" operator="between" allowBlank="1" errorTitle="超出范围" error="C6 自评得分应在 0 到 5 之间" sqref="F16">
      <formula1>0</formula1>
      <formula2>5</formula2>
    </dataValidation>
    <dataValidation type="whole" operator="between" allowBlank="1" errorTitle="超出范围" error="P1 自评得分应在 -5 到 5 之间" sqref="F17">
      <formula1>-5</formula1>
      <formula2>5</formula2>
    </dataValidation>
    <dataValidation type="whole" operator="between" allowBlank="1" errorTitle="超出范围" error="P2 自评得分应在 -5 到 10 之间" sqref="F18">
      <formula1>-5</formula1>
      <formula2>10</formula2>
    </dataValidation>
    <dataValidation type="whole" operator="between" allowBlank="1" errorTitle="超出范围" error="P3 自评得分应在 -20 到 20 之间" sqref="F19">
      <formula1>-20</formula1>
      <formula2>20</formula2>
    </dataValidation>
    <dataValidation type="whole" operator="between" allowBlank="1" errorTitle="超出范围" error="P4 自评得分应在 0 到 10 之间" sqref="F20">
      <formula1>0</formula1>
      <formula2>10</formula2>
    </dataValidation>
    <dataValidation type="whole" operator="between" allowBlank="1" errorTitle="超出范围" error="1K 自评得分应在 -20 到 20 之间" sqref="F21">
      <formula1>-20</formula1>
      <formula2>20</formula2>
    </dataValidation>
  </dataValidations>
  <printOptions horizontalCentered="1"/>
  <pageMargins left="0.3" right="0.3" top="0.4" bottom="0.4" header="0.511811023622047" footer="0.511811023622047"/>
  <pageSetup paperSize="1" fitToHeight="0" orientation="landscape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L57"/>
  <sheetViews>
    <sheetView showGridLines="0" workbookViewId="0">
      <pane xSplit="1" ySplit="5" topLeftCell="B51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2.203125" customWidth="1"/>
    <col min="2" max="2" width="4.5" customWidth="1"/>
    <col min="3" max="3" width="6.5" customWidth="1"/>
    <col min="4" max="4" width="15" customWidth="1"/>
    <col min="5" max="5" width="8" customWidth="1"/>
    <col min="6" max="6" width="12" customWidth="1"/>
    <col min="7" max="7" width="24" customWidth="1"/>
    <col min="8" max="8" width="9" customWidth="1"/>
    <col min="9" max="9" width="10" customWidth="1"/>
    <col min="10" max="10" width="12" customWidth="1"/>
    <col min="11" max="11" width="62" customWidth="1"/>
    <col min="12" max="12" width="42" customWidth="1"/>
  </cols>
  <sheetData>
    <row r="2" ht="34" customHeight="1" spans="2:12">
      <c r="B2" s="56" t="s">
        <v>378</v>
      </c>
    </row>
    <row r="3" ht="20" customHeight="1" spans="2:12">
      <c r="B3" s="57" t="s">
        <v>379</v>
      </c>
    </row>
    <row r="5" ht="34" customHeight="1" spans="2:12">
      <c r="B5" s="58" t="s">
        <v>380</v>
      </c>
      <c r="C5" s="58" t="s">
        <v>381</v>
      </c>
      <c r="D5" s="58" t="s">
        <v>382</v>
      </c>
      <c r="E5" s="58" t="s">
        <v>383</v>
      </c>
      <c r="F5" s="58" t="s">
        <v>335</v>
      </c>
      <c r="G5" s="58" t="s">
        <v>384</v>
      </c>
      <c r="H5" s="58" t="s">
        <v>385</v>
      </c>
      <c r="I5" s="58" t="s">
        <v>386</v>
      </c>
      <c r="J5" s="58" t="s">
        <v>387</v>
      </c>
      <c r="K5" s="58" t="s">
        <v>388</v>
      </c>
      <c r="L5" s="58" t="s">
        <v>389</v>
      </c>
    </row>
    <row r="6" ht="141" customHeight="1" spans="2:12">
      <c r="B6" s="59">
        <v>1</v>
      </c>
      <c r="C6" s="59" t="s">
        <v>279</v>
      </c>
      <c r="D6" s="60" t="s">
        <v>390</v>
      </c>
      <c r="E6" s="60" t="s">
        <v>391</v>
      </c>
      <c r="F6" s="61" t="s">
        <v>392</v>
      </c>
      <c r="G6" s="62" t="s">
        <v>393</v>
      </c>
      <c r="H6" s="63" t="s">
        <v>394</v>
      </c>
      <c r="I6" s="64" t="s">
        <v>395</v>
      </c>
      <c r="J6" s="64" t="s">
        <v>396</v>
      </c>
      <c r="K6" s="62" t="s">
        <v>397</v>
      </c>
      <c r="L6" s="65" t="s">
        <v>398</v>
      </c>
    </row>
    <row r="7" ht="126" customHeight="1" spans="2:12">
      <c r="B7" s="66"/>
      <c r="C7" s="66"/>
      <c r="D7" s="66"/>
      <c r="E7" s="66"/>
      <c r="F7" s="67" t="s">
        <v>192</v>
      </c>
      <c r="G7" s="68" t="s">
        <v>399</v>
      </c>
      <c r="H7" s="69" t="s">
        <v>394</v>
      </c>
      <c r="I7" s="70" t="s">
        <v>400</v>
      </c>
      <c r="J7" s="70" t="s">
        <v>401</v>
      </c>
      <c r="K7" s="68" t="s">
        <v>402</v>
      </c>
      <c r="L7" s="71" t="s">
        <v>403</v>
      </c>
    </row>
    <row r="8" ht="126" customHeight="1" spans="2:12">
      <c r="B8" s="66"/>
      <c r="C8" s="66"/>
      <c r="D8" s="66"/>
      <c r="E8" s="66"/>
      <c r="F8" s="72" t="s">
        <v>193</v>
      </c>
      <c r="G8" s="73" t="s">
        <v>404</v>
      </c>
      <c r="H8" s="74" t="s">
        <v>405</v>
      </c>
      <c r="I8" s="75" t="s">
        <v>406</v>
      </c>
      <c r="J8" s="75" t="s">
        <v>407</v>
      </c>
      <c r="K8" s="73" t="s">
        <v>408</v>
      </c>
      <c r="L8" s="76" t="s">
        <v>409</v>
      </c>
    </row>
    <row r="9" ht="126" customHeight="1" spans="2:12">
      <c r="B9" s="66"/>
      <c r="C9" s="66"/>
      <c r="D9" s="66"/>
      <c r="E9" s="66"/>
      <c r="F9" s="77" t="s">
        <v>194</v>
      </c>
      <c r="G9" s="78" t="s">
        <v>410</v>
      </c>
      <c r="H9" s="79" t="s">
        <v>411</v>
      </c>
      <c r="I9" s="80" t="s">
        <v>412</v>
      </c>
      <c r="J9" s="80" t="s">
        <v>413</v>
      </c>
      <c r="K9" s="78" t="s">
        <v>414</v>
      </c>
      <c r="L9" s="81" t="s">
        <v>415</v>
      </c>
    </row>
    <row r="10" ht="96" customHeight="1" spans="2:12">
      <c r="B10" s="59">
        <v>2</v>
      </c>
      <c r="C10" s="59" t="s">
        <v>279</v>
      </c>
      <c r="D10" s="60" t="s">
        <v>416</v>
      </c>
      <c r="E10" s="60" t="s">
        <v>391</v>
      </c>
      <c r="F10" s="61" t="s">
        <v>392</v>
      </c>
      <c r="G10" s="62" t="s">
        <v>417</v>
      </c>
      <c r="H10" s="63" t="s">
        <v>418</v>
      </c>
      <c r="I10" s="64" t="s">
        <v>419</v>
      </c>
      <c r="J10" s="64" t="s">
        <v>420</v>
      </c>
      <c r="K10" s="62" t="s">
        <v>421</v>
      </c>
      <c r="L10" s="65" t="s">
        <v>422</v>
      </c>
    </row>
    <row r="11" ht="96" customHeight="1" spans="2:12">
      <c r="B11" s="66"/>
      <c r="C11" s="66"/>
      <c r="D11" s="66"/>
      <c r="E11" s="66"/>
      <c r="F11" s="67" t="s">
        <v>192</v>
      </c>
      <c r="G11" s="68" t="s">
        <v>423</v>
      </c>
      <c r="H11" s="69" t="s">
        <v>424</v>
      </c>
      <c r="I11" s="70" t="s">
        <v>425</v>
      </c>
      <c r="J11" s="70" t="s">
        <v>426</v>
      </c>
      <c r="K11" s="68" t="s">
        <v>427</v>
      </c>
      <c r="L11" s="71" t="s">
        <v>428</v>
      </c>
    </row>
    <row r="12" ht="96" customHeight="1" spans="2:12">
      <c r="B12" s="66"/>
      <c r="C12" s="66"/>
      <c r="D12" s="66"/>
      <c r="E12" s="66"/>
      <c r="F12" s="72" t="s">
        <v>193</v>
      </c>
      <c r="G12" s="73" t="s">
        <v>429</v>
      </c>
      <c r="H12" s="74" t="s">
        <v>430</v>
      </c>
      <c r="I12" s="75" t="s">
        <v>431</v>
      </c>
      <c r="J12" s="75" t="s">
        <v>432</v>
      </c>
      <c r="K12" s="73" t="s">
        <v>433</v>
      </c>
      <c r="L12" s="76" t="s">
        <v>434</v>
      </c>
    </row>
    <row r="13" ht="96" customHeight="1" spans="2:12">
      <c r="B13" s="66"/>
      <c r="C13" s="66"/>
      <c r="D13" s="66"/>
      <c r="E13" s="66"/>
      <c r="F13" s="77" t="s">
        <v>194</v>
      </c>
      <c r="G13" s="78" t="s">
        <v>435</v>
      </c>
      <c r="H13" s="79" t="s">
        <v>436</v>
      </c>
      <c r="I13" s="80" t="s">
        <v>437</v>
      </c>
      <c r="J13" s="80" t="s">
        <v>438</v>
      </c>
      <c r="K13" s="78" t="s">
        <v>439</v>
      </c>
      <c r="L13" s="81" t="s">
        <v>440</v>
      </c>
    </row>
    <row r="14" ht="96" customHeight="1" spans="2:12">
      <c r="B14" s="59">
        <v>3</v>
      </c>
      <c r="C14" s="59" t="s">
        <v>279</v>
      </c>
      <c r="D14" s="60" t="s">
        <v>441</v>
      </c>
      <c r="E14" s="60" t="s">
        <v>391</v>
      </c>
      <c r="F14" s="61" t="s">
        <v>392</v>
      </c>
      <c r="G14" s="62" t="s">
        <v>442</v>
      </c>
      <c r="H14" s="63" t="s">
        <v>443</v>
      </c>
      <c r="I14" s="64" t="s">
        <v>444</v>
      </c>
      <c r="J14" s="64" t="s">
        <v>445</v>
      </c>
      <c r="K14" s="62" t="s">
        <v>446</v>
      </c>
      <c r="L14" s="65" t="s">
        <v>447</v>
      </c>
    </row>
    <row r="15" ht="96" customHeight="1" spans="2:12">
      <c r="B15" s="66"/>
      <c r="C15" s="66"/>
      <c r="D15" s="66"/>
      <c r="E15" s="66"/>
      <c r="F15" s="67" t="s">
        <v>192</v>
      </c>
      <c r="G15" s="68" t="s">
        <v>448</v>
      </c>
      <c r="H15" s="69" t="s">
        <v>449</v>
      </c>
      <c r="I15" s="70" t="s">
        <v>450</v>
      </c>
      <c r="J15" s="70" t="s">
        <v>445</v>
      </c>
      <c r="K15" s="68" t="s">
        <v>451</v>
      </c>
      <c r="L15" s="71" t="s">
        <v>452</v>
      </c>
    </row>
    <row r="16" ht="96" customHeight="1" spans="2:12">
      <c r="B16" s="66"/>
      <c r="C16" s="66"/>
      <c r="D16" s="66"/>
      <c r="E16" s="66"/>
      <c r="F16" s="72" t="s">
        <v>193</v>
      </c>
      <c r="G16" s="73" t="s">
        <v>453</v>
      </c>
      <c r="H16" s="74" t="s">
        <v>454</v>
      </c>
      <c r="I16" s="75" t="s">
        <v>431</v>
      </c>
      <c r="J16" s="75" t="s">
        <v>455</v>
      </c>
      <c r="K16" s="73" t="s">
        <v>456</v>
      </c>
      <c r="L16" s="76" t="s">
        <v>457</v>
      </c>
    </row>
    <row r="17" ht="96" customHeight="1" spans="2:12">
      <c r="B17" s="66"/>
      <c r="C17" s="66"/>
      <c r="D17" s="66"/>
      <c r="E17" s="66"/>
      <c r="F17" s="77" t="s">
        <v>194</v>
      </c>
      <c r="G17" s="78" t="s">
        <v>458</v>
      </c>
      <c r="H17" s="79" t="s">
        <v>459</v>
      </c>
      <c r="I17" s="80" t="s">
        <v>460</v>
      </c>
      <c r="J17" s="80" t="s">
        <v>438</v>
      </c>
      <c r="K17" s="78" t="s">
        <v>461</v>
      </c>
      <c r="L17" s="81" t="s">
        <v>462</v>
      </c>
    </row>
    <row r="18" ht="96" customHeight="1" spans="2:12">
      <c r="B18" s="59">
        <v>4</v>
      </c>
      <c r="C18" s="59" t="s">
        <v>286</v>
      </c>
      <c r="D18" s="60" t="s">
        <v>463</v>
      </c>
      <c r="E18" s="60" t="s">
        <v>391</v>
      </c>
      <c r="F18" s="61" t="s">
        <v>392</v>
      </c>
      <c r="G18" s="62" t="s">
        <v>464</v>
      </c>
      <c r="H18" s="63" t="s">
        <v>465</v>
      </c>
      <c r="I18" s="64" t="s">
        <v>466</v>
      </c>
      <c r="J18" s="64" t="s">
        <v>467</v>
      </c>
      <c r="K18" s="62" t="s">
        <v>468</v>
      </c>
      <c r="L18" s="65" t="s">
        <v>469</v>
      </c>
    </row>
    <row r="19" ht="96" customHeight="1" spans="2:12">
      <c r="B19" s="66"/>
      <c r="C19" s="66"/>
      <c r="D19" s="66"/>
      <c r="E19" s="66"/>
      <c r="F19" s="67" t="s">
        <v>192</v>
      </c>
      <c r="G19" s="68" t="s">
        <v>470</v>
      </c>
      <c r="H19" s="69" t="s">
        <v>471</v>
      </c>
      <c r="I19" s="70" t="s">
        <v>466</v>
      </c>
      <c r="J19" s="70" t="s">
        <v>467</v>
      </c>
      <c r="K19" s="68" t="s">
        <v>472</v>
      </c>
      <c r="L19" s="71" t="s">
        <v>473</v>
      </c>
    </row>
    <row r="20" ht="96" customHeight="1" spans="2:12">
      <c r="B20" s="66"/>
      <c r="C20" s="66"/>
      <c r="D20" s="66"/>
      <c r="E20" s="66"/>
      <c r="F20" s="72" t="s">
        <v>193</v>
      </c>
      <c r="G20" s="73" t="s">
        <v>474</v>
      </c>
      <c r="H20" s="74" t="s">
        <v>475</v>
      </c>
      <c r="I20" s="75" t="s">
        <v>476</v>
      </c>
      <c r="J20" s="75" t="s">
        <v>477</v>
      </c>
      <c r="K20" s="73" t="s">
        <v>478</v>
      </c>
      <c r="L20" s="76" t="s">
        <v>479</v>
      </c>
    </row>
    <row r="21" ht="96" customHeight="1" spans="2:12">
      <c r="B21" s="66"/>
      <c r="C21" s="66"/>
      <c r="D21" s="66"/>
      <c r="E21" s="66"/>
      <c r="F21" s="77" t="s">
        <v>194</v>
      </c>
      <c r="G21" s="78" t="s">
        <v>480</v>
      </c>
      <c r="H21" s="79" t="s">
        <v>481</v>
      </c>
      <c r="I21" s="80" t="s">
        <v>482</v>
      </c>
      <c r="J21" s="80" t="s">
        <v>483</v>
      </c>
      <c r="K21" s="78" t="s">
        <v>484</v>
      </c>
      <c r="L21" s="81" t="s">
        <v>485</v>
      </c>
    </row>
    <row r="22" ht="111" customHeight="1" spans="2:12">
      <c r="B22" s="59">
        <v>5</v>
      </c>
      <c r="C22" s="59" t="s">
        <v>279</v>
      </c>
      <c r="D22" s="60" t="s">
        <v>486</v>
      </c>
      <c r="E22" s="60" t="s">
        <v>391</v>
      </c>
      <c r="F22" s="61" t="s">
        <v>392</v>
      </c>
      <c r="G22" s="62" t="s">
        <v>487</v>
      </c>
      <c r="H22" s="63" t="s">
        <v>488</v>
      </c>
      <c r="I22" s="64" t="s">
        <v>489</v>
      </c>
      <c r="J22" s="64" t="s">
        <v>490</v>
      </c>
      <c r="K22" s="62" t="s">
        <v>491</v>
      </c>
      <c r="L22" s="65" t="s">
        <v>492</v>
      </c>
    </row>
    <row r="23" ht="111" customHeight="1" spans="2:12">
      <c r="B23" s="66"/>
      <c r="C23" s="66"/>
      <c r="D23" s="66"/>
      <c r="E23" s="66"/>
      <c r="F23" s="67" t="s">
        <v>192</v>
      </c>
      <c r="G23" s="68" t="s">
        <v>493</v>
      </c>
      <c r="H23" s="69" t="s">
        <v>494</v>
      </c>
      <c r="I23" s="70" t="s">
        <v>495</v>
      </c>
      <c r="J23" s="70" t="s">
        <v>496</v>
      </c>
      <c r="K23" s="68" t="s">
        <v>497</v>
      </c>
      <c r="L23" s="71" t="s">
        <v>498</v>
      </c>
    </row>
    <row r="24" ht="96" customHeight="1" spans="2:12">
      <c r="B24" s="66"/>
      <c r="C24" s="66"/>
      <c r="D24" s="66"/>
      <c r="E24" s="66"/>
      <c r="F24" s="72" t="s">
        <v>193</v>
      </c>
      <c r="G24" s="73" t="s">
        <v>499</v>
      </c>
      <c r="H24" s="74" t="s">
        <v>500</v>
      </c>
      <c r="I24" s="75" t="s">
        <v>431</v>
      </c>
      <c r="J24" s="75" t="s">
        <v>455</v>
      </c>
      <c r="K24" s="73" t="s">
        <v>501</v>
      </c>
      <c r="L24" s="76" t="s">
        <v>502</v>
      </c>
    </row>
    <row r="25" ht="96" customHeight="1" spans="2:12">
      <c r="B25" s="66"/>
      <c r="C25" s="66"/>
      <c r="D25" s="66"/>
      <c r="E25" s="66"/>
      <c r="F25" s="77" t="s">
        <v>194</v>
      </c>
      <c r="G25" s="78" t="s">
        <v>503</v>
      </c>
      <c r="H25" s="79" t="s">
        <v>504</v>
      </c>
      <c r="I25" s="80" t="s">
        <v>505</v>
      </c>
      <c r="J25" s="80" t="s">
        <v>438</v>
      </c>
      <c r="K25" s="78" t="s">
        <v>506</v>
      </c>
      <c r="L25" s="81" t="s">
        <v>507</v>
      </c>
    </row>
    <row r="26" ht="96" customHeight="1" spans="2:12">
      <c r="B26" s="59">
        <v>6</v>
      </c>
      <c r="C26" s="59" t="s">
        <v>286</v>
      </c>
      <c r="D26" s="60" t="s">
        <v>508</v>
      </c>
      <c r="E26" s="60" t="s">
        <v>391</v>
      </c>
      <c r="F26" s="61" t="s">
        <v>392</v>
      </c>
      <c r="G26" s="62" t="s">
        <v>509</v>
      </c>
      <c r="H26" s="63" t="s">
        <v>510</v>
      </c>
      <c r="I26" s="64" t="s">
        <v>511</v>
      </c>
      <c r="J26" s="64" t="s">
        <v>455</v>
      </c>
      <c r="K26" s="62" t="s">
        <v>512</v>
      </c>
      <c r="L26" s="65" t="s">
        <v>513</v>
      </c>
    </row>
    <row r="27" ht="81" customHeight="1" spans="2:12">
      <c r="B27" s="66"/>
      <c r="C27" s="66"/>
      <c r="D27" s="66"/>
      <c r="E27" s="66"/>
      <c r="F27" s="67" t="s">
        <v>192</v>
      </c>
      <c r="G27" s="68" t="s">
        <v>514</v>
      </c>
      <c r="H27" s="69" t="s">
        <v>510</v>
      </c>
      <c r="I27" s="70" t="s">
        <v>511</v>
      </c>
      <c r="J27" s="70" t="s">
        <v>455</v>
      </c>
      <c r="K27" s="68" t="s">
        <v>515</v>
      </c>
      <c r="L27" s="71" t="s">
        <v>516</v>
      </c>
    </row>
    <row r="28" ht="81" customHeight="1" spans="2:12">
      <c r="B28" s="66"/>
      <c r="C28" s="66"/>
      <c r="D28" s="66"/>
      <c r="E28" s="66"/>
      <c r="F28" s="72" t="s">
        <v>193</v>
      </c>
      <c r="G28" s="73" t="s">
        <v>517</v>
      </c>
      <c r="H28" s="74" t="s">
        <v>475</v>
      </c>
      <c r="I28" s="75" t="s">
        <v>518</v>
      </c>
      <c r="J28" s="75" t="s">
        <v>519</v>
      </c>
      <c r="K28" s="73" t="s">
        <v>520</v>
      </c>
      <c r="L28" s="76" t="s">
        <v>521</v>
      </c>
    </row>
    <row r="29" ht="81" customHeight="1" spans="2:12">
      <c r="B29" s="66"/>
      <c r="C29" s="66"/>
      <c r="D29" s="66"/>
      <c r="E29" s="66"/>
      <c r="F29" s="77" t="s">
        <v>194</v>
      </c>
      <c r="G29" s="78" t="s">
        <v>522</v>
      </c>
      <c r="H29" s="79" t="s">
        <v>510</v>
      </c>
      <c r="I29" s="80" t="s">
        <v>511</v>
      </c>
      <c r="J29" s="80" t="s">
        <v>455</v>
      </c>
      <c r="K29" s="78" t="s">
        <v>523</v>
      </c>
      <c r="L29" s="81" t="s">
        <v>524</v>
      </c>
    </row>
    <row r="30" ht="51" customHeight="1" spans="2:12">
      <c r="B30" s="59">
        <v>7</v>
      </c>
      <c r="C30" s="59" t="s">
        <v>286</v>
      </c>
      <c r="D30" s="60" t="s">
        <v>333</v>
      </c>
      <c r="E30" s="60" t="s">
        <v>391</v>
      </c>
      <c r="F30" s="61" t="s">
        <v>392</v>
      </c>
      <c r="G30" s="62" t="s">
        <v>525</v>
      </c>
      <c r="H30" s="63" t="s">
        <v>510</v>
      </c>
      <c r="I30" s="64" t="s">
        <v>526</v>
      </c>
      <c r="J30" s="64" t="s">
        <v>455</v>
      </c>
      <c r="K30" s="62" t="s">
        <v>527</v>
      </c>
      <c r="L30" s="65" t="s">
        <v>528</v>
      </c>
    </row>
    <row r="31" ht="51" customHeight="1" spans="2:12">
      <c r="B31" s="66"/>
      <c r="C31" s="66"/>
      <c r="D31" s="66"/>
      <c r="E31" s="66"/>
      <c r="F31" s="67" t="s">
        <v>192</v>
      </c>
      <c r="G31" s="68" t="s">
        <v>529</v>
      </c>
      <c r="H31" s="69" t="s">
        <v>510</v>
      </c>
      <c r="I31" s="70" t="s">
        <v>526</v>
      </c>
      <c r="J31" s="70" t="s">
        <v>455</v>
      </c>
      <c r="K31" s="68" t="s">
        <v>530</v>
      </c>
      <c r="L31" s="71" t="s">
        <v>531</v>
      </c>
    </row>
    <row r="32" ht="51" customHeight="1" spans="2:12">
      <c r="B32" s="66"/>
      <c r="C32" s="66"/>
      <c r="D32" s="66"/>
      <c r="E32" s="66"/>
      <c r="F32" s="72" t="s">
        <v>193</v>
      </c>
      <c r="G32" s="73" t="s">
        <v>532</v>
      </c>
      <c r="H32" s="74" t="s">
        <v>533</v>
      </c>
      <c r="I32" s="75" t="s">
        <v>534</v>
      </c>
      <c r="J32" s="75" t="s">
        <v>535</v>
      </c>
      <c r="K32" s="73" t="s">
        <v>536</v>
      </c>
      <c r="L32" s="76" t="s">
        <v>537</v>
      </c>
    </row>
    <row r="33" ht="51" customHeight="1" spans="2:12">
      <c r="B33" s="66"/>
      <c r="C33" s="66"/>
      <c r="D33" s="66"/>
      <c r="E33" s="66"/>
      <c r="F33" s="77" t="s">
        <v>194</v>
      </c>
      <c r="G33" s="78" t="s">
        <v>538</v>
      </c>
      <c r="H33" s="79" t="s">
        <v>510</v>
      </c>
      <c r="I33" s="80" t="s">
        <v>526</v>
      </c>
      <c r="J33" s="80" t="s">
        <v>455</v>
      </c>
      <c r="K33" s="78" t="s">
        <v>539</v>
      </c>
      <c r="L33" s="81" t="s">
        <v>540</v>
      </c>
    </row>
    <row r="34" ht="126" customHeight="1" spans="2:12">
      <c r="B34" s="59">
        <v>8</v>
      </c>
      <c r="C34" s="59" t="s">
        <v>286</v>
      </c>
      <c r="D34" s="60" t="s">
        <v>541</v>
      </c>
      <c r="E34" s="60" t="s">
        <v>391</v>
      </c>
      <c r="F34" s="61" t="s">
        <v>392</v>
      </c>
      <c r="G34" s="62" t="s">
        <v>542</v>
      </c>
      <c r="H34" s="63" t="s">
        <v>543</v>
      </c>
      <c r="I34" s="64" t="s">
        <v>466</v>
      </c>
      <c r="J34" s="64" t="s">
        <v>467</v>
      </c>
      <c r="K34" s="62" t="s">
        <v>544</v>
      </c>
      <c r="L34" s="65" t="s">
        <v>545</v>
      </c>
    </row>
    <row r="35" ht="111" customHeight="1" spans="2:12">
      <c r="B35" s="66"/>
      <c r="C35" s="66"/>
      <c r="D35" s="66"/>
      <c r="E35" s="66"/>
      <c r="F35" s="67" t="s">
        <v>192</v>
      </c>
      <c r="G35" s="68" t="s">
        <v>546</v>
      </c>
      <c r="H35" s="69" t="s">
        <v>471</v>
      </c>
      <c r="I35" s="70" t="s">
        <v>466</v>
      </c>
      <c r="J35" s="70" t="s">
        <v>467</v>
      </c>
      <c r="K35" s="68" t="s">
        <v>547</v>
      </c>
      <c r="L35" s="71" t="s">
        <v>548</v>
      </c>
    </row>
    <row r="36" ht="66" customHeight="1" spans="2:12">
      <c r="B36" s="66"/>
      <c r="C36" s="66"/>
      <c r="D36" s="66"/>
      <c r="E36" s="66"/>
      <c r="F36" s="72" t="s">
        <v>193</v>
      </c>
      <c r="G36" s="73" t="s">
        <v>549</v>
      </c>
      <c r="H36" s="74" t="s">
        <v>475</v>
      </c>
      <c r="I36" s="75" t="s">
        <v>518</v>
      </c>
      <c r="J36" s="75" t="s">
        <v>519</v>
      </c>
      <c r="K36" s="73" t="s">
        <v>550</v>
      </c>
      <c r="L36" s="76" t="s">
        <v>551</v>
      </c>
    </row>
    <row r="37" ht="66" customHeight="1" spans="2:12">
      <c r="B37" s="66"/>
      <c r="C37" s="66"/>
      <c r="D37" s="66"/>
      <c r="E37" s="66"/>
      <c r="F37" s="77" t="s">
        <v>194</v>
      </c>
      <c r="G37" s="78" t="s">
        <v>552</v>
      </c>
      <c r="H37" s="79" t="s">
        <v>481</v>
      </c>
      <c r="I37" s="80" t="s">
        <v>482</v>
      </c>
      <c r="J37" s="80" t="s">
        <v>483</v>
      </c>
      <c r="K37" s="78" t="s">
        <v>553</v>
      </c>
      <c r="L37" s="81" t="s">
        <v>554</v>
      </c>
    </row>
    <row r="38" ht="66" customHeight="1" spans="2:12">
      <c r="B38" s="59">
        <v>9</v>
      </c>
      <c r="C38" s="59" t="s">
        <v>286</v>
      </c>
      <c r="D38" s="60" t="s">
        <v>555</v>
      </c>
      <c r="E38" s="60" t="s">
        <v>391</v>
      </c>
      <c r="F38" s="61" t="s">
        <v>392</v>
      </c>
      <c r="G38" s="62" t="s">
        <v>556</v>
      </c>
      <c r="H38" s="63" t="s">
        <v>504</v>
      </c>
      <c r="I38" s="64" t="s">
        <v>557</v>
      </c>
      <c r="J38" s="64" t="s">
        <v>558</v>
      </c>
      <c r="K38" s="62" t="s">
        <v>559</v>
      </c>
      <c r="L38" s="65" t="s">
        <v>560</v>
      </c>
    </row>
    <row r="39" ht="66" customHeight="1" spans="2:12">
      <c r="B39" s="66"/>
      <c r="C39" s="66"/>
      <c r="D39" s="66"/>
      <c r="E39" s="66"/>
      <c r="F39" s="67" t="s">
        <v>192</v>
      </c>
      <c r="G39" s="68" t="s">
        <v>561</v>
      </c>
      <c r="H39" s="69" t="s">
        <v>504</v>
      </c>
      <c r="I39" s="70" t="s">
        <v>562</v>
      </c>
      <c r="J39" s="70" t="s">
        <v>558</v>
      </c>
      <c r="K39" s="68" t="s">
        <v>563</v>
      </c>
      <c r="L39" s="71" t="s">
        <v>564</v>
      </c>
    </row>
    <row r="40" ht="51" customHeight="1" spans="2:12">
      <c r="B40" s="66"/>
      <c r="C40" s="66"/>
      <c r="D40" s="66"/>
      <c r="E40" s="66"/>
      <c r="F40" s="72" t="s">
        <v>193</v>
      </c>
      <c r="G40" s="73" t="s">
        <v>565</v>
      </c>
      <c r="H40" s="74" t="s">
        <v>533</v>
      </c>
      <c r="I40" s="75" t="s">
        <v>566</v>
      </c>
      <c r="J40" s="75" t="s">
        <v>535</v>
      </c>
      <c r="K40" s="73" t="s">
        <v>567</v>
      </c>
      <c r="L40" s="76" t="s">
        <v>568</v>
      </c>
    </row>
    <row r="41" ht="51" customHeight="1" spans="2:12">
      <c r="B41" s="66"/>
      <c r="C41" s="66"/>
      <c r="D41" s="66"/>
      <c r="E41" s="66"/>
      <c r="F41" s="77" t="s">
        <v>194</v>
      </c>
      <c r="G41" s="78" t="s">
        <v>569</v>
      </c>
      <c r="H41" s="79" t="s">
        <v>570</v>
      </c>
      <c r="I41" s="80" t="s">
        <v>511</v>
      </c>
      <c r="J41" s="80" t="s">
        <v>571</v>
      </c>
      <c r="K41" s="78" t="s">
        <v>572</v>
      </c>
      <c r="L41" s="81" t="s">
        <v>573</v>
      </c>
    </row>
    <row r="42" ht="66" customHeight="1" spans="2:12">
      <c r="B42" s="59">
        <v>10</v>
      </c>
      <c r="C42" s="59" t="s">
        <v>286</v>
      </c>
      <c r="D42" s="60" t="s">
        <v>255</v>
      </c>
      <c r="E42" s="60" t="s">
        <v>391</v>
      </c>
      <c r="F42" s="61" t="s">
        <v>392</v>
      </c>
      <c r="G42" s="62" t="s">
        <v>574</v>
      </c>
      <c r="H42" s="63" t="s">
        <v>575</v>
      </c>
      <c r="I42" s="64" t="s">
        <v>518</v>
      </c>
      <c r="J42" s="64" t="s">
        <v>467</v>
      </c>
      <c r="K42" s="62" t="s">
        <v>576</v>
      </c>
      <c r="L42" s="65" t="s">
        <v>577</v>
      </c>
    </row>
    <row r="43" ht="66" customHeight="1" spans="2:12">
      <c r="B43" s="66"/>
      <c r="C43" s="66"/>
      <c r="D43" s="66"/>
      <c r="E43" s="66"/>
      <c r="F43" s="67" t="s">
        <v>192</v>
      </c>
      <c r="G43" s="68" t="s">
        <v>578</v>
      </c>
      <c r="H43" s="69" t="s">
        <v>579</v>
      </c>
      <c r="I43" s="70" t="s">
        <v>518</v>
      </c>
      <c r="J43" s="70" t="s">
        <v>467</v>
      </c>
      <c r="K43" s="68" t="s">
        <v>580</v>
      </c>
      <c r="L43" s="71" t="s">
        <v>581</v>
      </c>
    </row>
    <row r="44" ht="51" customHeight="1" spans="2:12">
      <c r="B44" s="66"/>
      <c r="C44" s="66"/>
      <c r="D44" s="66"/>
      <c r="E44" s="66"/>
      <c r="F44" s="72" t="s">
        <v>193</v>
      </c>
      <c r="G44" s="73" t="s">
        <v>582</v>
      </c>
      <c r="H44" s="74" t="s">
        <v>583</v>
      </c>
      <c r="I44" s="75" t="s">
        <v>518</v>
      </c>
      <c r="J44" s="75" t="s">
        <v>455</v>
      </c>
      <c r="K44" s="73" t="s">
        <v>584</v>
      </c>
      <c r="L44" s="76" t="s">
        <v>585</v>
      </c>
    </row>
    <row r="45" ht="66" customHeight="1" spans="2:12">
      <c r="B45" s="66"/>
      <c r="C45" s="66"/>
      <c r="D45" s="66"/>
      <c r="E45" s="66"/>
      <c r="F45" s="77" t="s">
        <v>194</v>
      </c>
      <c r="G45" s="78" t="s">
        <v>586</v>
      </c>
      <c r="H45" s="79" t="s">
        <v>481</v>
      </c>
      <c r="I45" s="80" t="s">
        <v>505</v>
      </c>
      <c r="J45" s="80" t="s">
        <v>455</v>
      </c>
      <c r="K45" s="78" t="s">
        <v>587</v>
      </c>
      <c r="L45" s="81" t="s">
        <v>588</v>
      </c>
    </row>
    <row r="46" ht="96" customHeight="1" spans="2:12">
      <c r="B46" s="59">
        <v>11</v>
      </c>
      <c r="C46" s="59" t="s">
        <v>286</v>
      </c>
      <c r="D46" s="60" t="s">
        <v>589</v>
      </c>
      <c r="E46" s="60" t="s">
        <v>391</v>
      </c>
      <c r="F46" s="61" t="s">
        <v>392</v>
      </c>
      <c r="G46" s="62" t="s">
        <v>590</v>
      </c>
      <c r="H46" s="63" t="s">
        <v>591</v>
      </c>
      <c r="I46" s="64" t="s">
        <v>592</v>
      </c>
      <c r="J46" s="64" t="s">
        <v>455</v>
      </c>
      <c r="K46" s="62" t="s">
        <v>593</v>
      </c>
      <c r="L46" s="65" t="s">
        <v>594</v>
      </c>
    </row>
    <row r="47" ht="66" customHeight="1" spans="2:12">
      <c r="B47" s="66"/>
      <c r="C47" s="66"/>
      <c r="D47" s="66"/>
      <c r="E47" s="66"/>
      <c r="F47" s="67" t="s">
        <v>192</v>
      </c>
      <c r="G47" s="68" t="s">
        <v>595</v>
      </c>
      <c r="H47" s="69" t="s">
        <v>596</v>
      </c>
      <c r="I47" s="70" t="s">
        <v>592</v>
      </c>
      <c r="J47" s="70" t="s">
        <v>455</v>
      </c>
      <c r="K47" s="68" t="s">
        <v>597</v>
      </c>
      <c r="L47" s="71" t="s">
        <v>598</v>
      </c>
    </row>
    <row r="48" ht="51" customHeight="1" spans="2:12">
      <c r="B48" s="66"/>
      <c r="C48" s="66"/>
      <c r="D48" s="66"/>
      <c r="E48" s="66"/>
      <c r="F48" s="72" t="s">
        <v>193</v>
      </c>
      <c r="G48" s="73" t="s">
        <v>599</v>
      </c>
      <c r="H48" s="74" t="s">
        <v>475</v>
      </c>
      <c r="I48" s="75" t="s">
        <v>518</v>
      </c>
      <c r="J48" s="75" t="s">
        <v>455</v>
      </c>
      <c r="K48" s="73" t="s">
        <v>600</v>
      </c>
      <c r="L48" s="76" t="s">
        <v>601</v>
      </c>
    </row>
    <row r="49" ht="51" customHeight="1" spans="2:12">
      <c r="B49" s="66"/>
      <c r="C49" s="66"/>
      <c r="D49" s="66"/>
      <c r="E49" s="66"/>
      <c r="F49" s="77" t="s">
        <v>194</v>
      </c>
      <c r="G49" s="78" t="s">
        <v>602</v>
      </c>
      <c r="H49" s="79" t="s">
        <v>603</v>
      </c>
      <c r="I49" s="80" t="s">
        <v>592</v>
      </c>
      <c r="J49" s="80" t="s">
        <v>455</v>
      </c>
      <c r="K49" s="78" t="s">
        <v>604</v>
      </c>
      <c r="L49" s="81" t="s">
        <v>605</v>
      </c>
    </row>
    <row r="50" ht="126" customHeight="1" spans="2:12">
      <c r="B50" s="59">
        <v>12</v>
      </c>
      <c r="C50" s="59" t="s">
        <v>294</v>
      </c>
      <c r="D50" s="60" t="s">
        <v>606</v>
      </c>
      <c r="E50" s="60" t="s">
        <v>391</v>
      </c>
      <c r="F50" s="61" t="s">
        <v>392</v>
      </c>
      <c r="G50" s="62" t="s">
        <v>607</v>
      </c>
      <c r="H50" s="63" t="s">
        <v>608</v>
      </c>
      <c r="I50" s="64" t="s">
        <v>609</v>
      </c>
      <c r="J50" s="64" t="s">
        <v>610</v>
      </c>
      <c r="K50" s="62" t="s">
        <v>611</v>
      </c>
      <c r="L50" s="65" t="s">
        <v>612</v>
      </c>
    </row>
    <row r="51" ht="126" customHeight="1" spans="2:12">
      <c r="B51" s="66"/>
      <c r="C51" s="66"/>
      <c r="D51" s="66"/>
      <c r="E51" s="66"/>
      <c r="F51" s="67" t="s">
        <v>192</v>
      </c>
      <c r="G51" s="68" t="s">
        <v>613</v>
      </c>
      <c r="H51" s="69" t="s">
        <v>614</v>
      </c>
      <c r="I51" s="70" t="s">
        <v>609</v>
      </c>
      <c r="J51" s="70" t="s">
        <v>610</v>
      </c>
      <c r="K51" s="68" t="s">
        <v>615</v>
      </c>
      <c r="L51" s="71" t="s">
        <v>616</v>
      </c>
    </row>
    <row r="52" ht="66" customHeight="1" spans="2:12">
      <c r="B52" s="66"/>
      <c r="C52" s="66"/>
      <c r="D52" s="66"/>
      <c r="E52" s="66"/>
      <c r="F52" s="72" t="s">
        <v>193</v>
      </c>
      <c r="G52" s="73" t="s">
        <v>617</v>
      </c>
      <c r="H52" s="74" t="s">
        <v>618</v>
      </c>
      <c r="I52" s="75" t="s">
        <v>609</v>
      </c>
      <c r="J52" s="75" t="s">
        <v>610</v>
      </c>
      <c r="K52" s="73" t="s">
        <v>619</v>
      </c>
      <c r="L52" s="76" t="s">
        <v>620</v>
      </c>
    </row>
    <row r="53" ht="66" customHeight="1" spans="2:12">
      <c r="B53" s="66"/>
      <c r="C53" s="66"/>
      <c r="D53" s="66"/>
      <c r="E53" s="66"/>
      <c r="F53" s="77" t="s">
        <v>194</v>
      </c>
      <c r="G53" s="78" t="s">
        <v>621</v>
      </c>
      <c r="H53" s="79" t="s">
        <v>622</v>
      </c>
      <c r="I53" s="80" t="s">
        <v>609</v>
      </c>
      <c r="J53" s="80" t="s">
        <v>455</v>
      </c>
      <c r="K53" s="78" t="s">
        <v>623</v>
      </c>
      <c r="L53" s="81" t="s">
        <v>624</v>
      </c>
    </row>
    <row r="54" ht="66" customHeight="1" spans="2:12">
      <c r="B54" s="59">
        <v>13</v>
      </c>
      <c r="C54" s="59" t="s">
        <v>279</v>
      </c>
      <c r="D54" s="60" t="s">
        <v>625</v>
      </c>
      <c r="E54" s="60" t="s">
        <v>391</v>
      </c>
      <c r="F54" s="61" t="s">
        <v>392</v>
      </c>
      <c r="G54" s="62" t="s">
        <v>626</v>
      </c>
      <c r="H54" s="63" t="s">
        <v>504</v>
      </c>
      <c r="I54" s="64" t="s">
        <v>627</v>
      </c>
      <c r="J54" s="64" t="s">
        <v>455</v>
      </c>
      <c r="K54" s="62" t="s">
        <v>628</v>
      </c>
      <c r="L54" s="65" t="s">
        <v>629</v>
      </c>
    </row>
    <row r="55" ht="66" customHeight="1" spans="2:12">
      <c r="B55" s="66"/>
      <c r="C55" s="66"/>
      <c r="D55" s="66"/>
      <c r="E55" s="66"/>
      <c r="F55" s="67" t="s">
        <v>192</v>
      </c>
      <c r="G55" s="68" t="s">
        <v>630</v>
      </c>
      <c r="H55" s="69" t="s">
        <v>631</v>
      </c>
      <c r="I55" s="70" t="s">
        <v>627</v>
      </c>
      <c r="J55" s="70" t="s">
        <v>455</v>
      </c>
      <c r="K55" s="68" t="s">
        <v>632</v>
      </c>
      <c r="L55" s="71" t="s">
        <v>633</v>
      </c>
    </row>
    <row r="56" ht="51" customHeight="1" spans="2:12">
      <c r="B56" s="66"/>
      <c r="C56" s="66"/>
      <c r="D56" s="66"/>
      <c r="E56" s="66"/>
      <c r="F56" s="72" t="s">
        <v>193</v>
      </c>
      <c r="G56" s="73" t="s">
        <v>634</v>
      </c>
      <c r="H56" s="74" t="s">
        <v>533</v>
      </c>
      <c r="I56" s="75" t="s">
        <v>566</v>
      </c>
      <c r="J56" s="75" t="s">
        <v>455</v>
      </c>
      <c r="K56" s="73" t="s">
        <v>635</v>
      </c>
      <c r="L56" s="76" t="s">
        <v>636</v>
      </c>
    </row>
    <row r="57" ht="51" customHeight="1" spans="2:12">
      <c r="B57" s="66"/>
      <c r="C57" s="66"/>
      <c r="D57" s="66"/>
      <c r="E57" s="66"/>
      <c r="F57" s="77" t="s">
        <v>194</v>
      </c>
      <c r="G57" s="78" t="s">
        <v>637</v>
      </c>
      <c r="H57" s="79" t="s">
        <v>638</v>
      </c>
      <c r="I57" s="80" t="s">
        <v>627</v>
      </c>
      <c r="J57" s="80" t="s">
        <v>639</v>
      </c>
      <c r="K57" s="78" t="s">
        <v>640</v>
      </c>
      <c r="L57" s="81" t="s">
        <v>641</v>
      </c>
    </row>
  </sheetData>
  <mergeCells count="54">
    <mergeCell ref="B2:L2"/>
    <mergeCell ref="B3:L3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D6:D9"/>
    <mergeCell ref="D10:D13"/>
    <mergeCell ref="D14:D17"/>
    <mergeCell ref="D18:D21"/>
    <mergeCell ref="D22:D25"/>
    <mergeCell ref="D26:D29"/>
    <mergeCell ref="D30:D33"/>
    <mergeCell ref="D34:D37"/>
    <mergeCell ref="D38:D41"/>
    <mergeCell ref="D42:D45"/>
    <mergeCell ref="D46:D49"/>
    <mergeCell ref="D50:D53"/>
    <mergeCell ref="D54:D57"/>
    <mergeCell ref="E6:E9"/>
    <mergeCell ref="E10:E13"/>
    <mergeCell ref="E14:E17"/>
    <mergeCell ref="E18:E21"/>
    <mergeCell ref="E22:E25"/>
    <mergeCell ref="E26:E29"/>
    <mergeCell ref="E30:E33"/>
    <mergeCell ref="E34:E37"/>
    <mergeCell ref="E38:E41"/>
    <mergeCell ref="E42:E45"/>
    <mergeCell ref="E46:E49"/>
    <mergeCell ref="E50:E53"/>
    <mergeCell ref="E54:E57"/>
  </mergeCells>
  <printOptions horizontalCentered="1"/>
  <pageMargins left="0.3" right="0.3" top="0.4" bottom="0.4" header="0.5" footer="0.5"/>
  <pageSetup paperSize="1" fitToHeight="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L41"/>
  <sheetViews>
    <sheetView showGridLines="0" workbookViewId="0">
      <pane xSplit="1" ySplit="5" topLeftCell="B34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2.203125" customWidth="1"/>
    <col min="2" max="2" width="4.5" customWidth="1"/>
    <col min="3" max="3" width="6.5" customWidth="1"/>
    <col min="4" max="4" width="15" customWidth="1"/>
    <col min="5" max="5" width="8" customWidth="1"/>
    <col min="6" max="6" width="12" customWidth="1"/>
    <col min="7" max="7" width="24" customWidth="1"/>
    <col min="8" max="8" width="9" customWidth="1"/>
    <col min="9" max="9" width="10" customWidth="1"/>
    <col min="10" max="10" width="12" customWidth="1"/>
    <col min="11" max="11" width="62" customWidth="1"/>
    <col min="12" max="12" width="42" customWidth="1"/>
  </cols>
  <sheetData>
    <row r="2" ht="34" customHeight="1" spans="2:12">
      <c r="B2" s="56" t="s">
        <v>642</v>
      </c>
    </row>
    <row r="3" ht="20" customHeight="1" spans="2:12">
      <c r="B3" s="57" t="s">
        <v>643</v>
      </c>
    </row>
    <row r="5" ht="34" customHeight="1" spans="2:12">
      <c r="B5" s="58" t="s">
        <v>380</v>
      </c>
      <c r="C5" s="58" t="s">
        <v>381</v>
      </c>
      <c r="D5" s="58" t="s">
        <v>382</v>
      </c>
      <c r="E5" s="58" t="s">
        <v>383</v>
      </c>
      <c r="F5" s="58" t="s">
        <v>335</v>
      </c>
      <c r="G5" s="58" t="s">
        <v>384</v>
      </c>
      <c r="H5" s="58" t="s">
        <v>385</v>
      </c>
      <c r="I5" s="58" t="s">
        <v>386</v>
      </c>
      <c r="J5" s="58" t="s">
        <v>387</v>
      </c>
      <c r="K5" s="58" t="s">
        <v>388</v>
      </c>
      <c r="L5" s="58" t="s">
        <v>389</v>
      </c>
    </row>
    <row r="6" ht="126" customHeight="1" spans="2:12">
      <c r="B6" s="59">
        <v>1</v>
      </c>
      <c r="C6" s="59" t="s">
        <v>75</v>
      </c>
      <c r="D6" s="60" t="s">
        <v>644</v>
      </c>
      <c r="E6" s="60" t="s">
        <v>645</v>
      </c>
      <c r="F6" s="61" t="s">
        <v>392</v>
      </c>
      <c r="G6" s="62" t="s">
        <v>646</v>
      </c>
      <c r="H6" s="63" t="s">
        <v>647</v>
      </c>
      <c r="I6" s="64" t="s">
        <v>495</v>
      </c>
      <c r="J6" s="64" t="s">
        <v>496</v>
      </c>
      <c r="K6" s="62" t="s">
        <v>648</v>
      </c>
      <c r="L6" s="65" t="s">
        <v>649</v>
      </c>
    </row>
    <row r="7" ht="51" customHeight="1" spans="2:12">
      <c r="B7" s="66"/>
      <c r="C7" s="66"/>
      <c r="D7" s="66"/>
      <c r="E7" s="66"/>
      <c r="F7" s="67" t="s">
        <v>192</v>
      </c>
      <c r="G7" s="68" t="s">
        <v>650</v>
      </c>
      <c r="H7" s="69" t="s">
        <v>647</v>
      </c>
      <c r="I7" s="70" t="s">
        <v>495</v>
      </c>
      <c r="J7" s="70" t="s">
        <v>496</v>
      </c>
      <c r="K7" s="68" t="s">
        <v>651</v>
      </c>
      <c r="L7" s="71" t="s">
        <v>652</v>
      </c>
    </row>
    <row r="8" ht="36" customHeight="1" spans="2:12">
      <c r="B8" s="66"/>
      <c r="C8" s="66"/>
      <c r="D8" s="66"/>
      <c r="E8" s="66"/>
      <c r="F8" s="72" t="s">
        <v>193</v>
      </c>
      <c r="G8" s="73" t="s">
        <v>653</v>
      </c>
      <c r="H8" s="74" t="s">
        <v>475</v>
      </c>
      <c r="I8" s="75" t="s">
        <v>495</v>
      </c>
      <c r="J8" s="75" t="s">
        <v>455</v>
      </c>
      <c r="K8" s="73" t="s">
        <v>654</v>
      </c>
      <c r="L8" s="76" t="s">
        <v>655</v>
      </c>
    </row>
    <row r="9" ht="36" customHeight="1" spans="2:12">
      <c r="B9" s="66"/>
      <c r="C9" s="66"/>
      <c r="D9" s="66"/>
      <c r="E9" s="66"/>
      <c r="F9" s="77" t="s">
        <v>194</v>
      </c>
      <c r="G9" s="78" t="s">
        <v>656</v>
      </c>
      <c r="H9" s="79" t="s">
        <v>647</v>
      </c>
      <c r="I9" s="80" t="s">
        <v>495</v>
      </c>
      <c r="J9" s="80" t="s">
        <v>657</v>
      </c>
      <c r="K9" s="78" t="s">
        <v>658</v>
      </c>
      <c r="L9" s="81" t="s">
        <v>659</v>
      </c>
    </row>
    <row r="10" ht="66" customHeight="1" spans="2:12">
      <c r="B10" s="59">
        <v>2</v>
      </c>
      <c r="C10" s="59" t="s">
        <v>660</v>
      </c>
      <c r="D10" s="60" t="s">
        <v>661</v>
      </c>
      <c r="E10" s="60" t="s">
        <v>645</v>
      </c>
      <c r="F10" s="61" t="s">
        <v>392</v>
      </c>
      <c r="G10" s="62" t="s">
        <v>662</v>
      </c>
      <c r="H10" s="63" t="s">
        <v>663</v>
      </c>
      <c r="I10" s="64" t="s">
        <v>495</v>
      </c>
      <c r="J10" s="64" t="s">
        <v>664</v>
      </c>
      <c r="K10" s="62" t="s">
        <v>665</v>
      </c>
      <c r="L10" s="65" t="s">
        <v>666</v>
      </c>
    </row>
    <row r="11" ht="51" customHeight="1" spans="2:12">
      <c r="B11" s="66"/>
      <c r="C11" s="66"/>
      <c r="D11" s="66"/>
      <c r="E11" s="66"/>
      <c r="F11" s="67" t="s">
        <v>192</v>
      </c>
      <c r="G11" s="68" t="s">
        <v>667</v>
      </c>
      <c r="H11" s="69" t="s">
        <v>663</v>
      </c>
      <c r="I11" s="70" t="s">
        <v>495</v>
      </c>
      <c r="J11" s="70" t="s">
        <v>668</v>
      </c>
      <c r="K11" s="68" t="s">
        <v>669</v>
      </c>
      <c r="L11" s="71" t="s">
        <v>670</v>
      </c>
    </row>
    <row r="12" ht="36" customHeight="1" spans="2:12">
      <c r="B12" s="66"/>
      <c r="C12" s="66"/>
      <c r="D12" s="66"/>
      <c r="E12" s="66"/>
      <c r="F12" s="72" t="s">
        <v>193</v>
      </c>
      <c r="G12" s="73" t="s">
        <v>671</v>
      </c>
      <c r="H12" s="74" t="s">
        <v>475</v>
      </c>
      <c r="I12" s="75" t="s">
        <v>672</v>
      </c>
      <c r="J12" s="75" t="s">
        <v>673</v>
      </c>
      <c r="K12" s="73" t="s">
        <v>674</v>
      </c>
      <c r="L12" s="76" t="s">
        <v>675</v>
      </c>
    </row>
    <row r="13" ht="36" customHeight="1" spans="2:12">
      <c r="B13" s="66"/>
      <c r="C13" s="66"/>
      <c r="D13" s="66"/>
      <c r="E13" s="66"/>
      <c r="F13" s="77" t="s">
        <v>194</v>
      </c>
      <c r="G13" s="78" t="s">
        <v>676</v>
      </c>
      <c r="H13" s="79" t="s">
        <v>570</v>
      </c>
      <c r="I13" s="80" t="s">
        <v>677</v>
      </c>
      <c r="J13" s="80" t="s">
        <v>571</v>
      </c>
      <c r="K13" s="78" t="s">
        <v>678</v>
      </c>
      <c r="L13" s="81" t="s">
        <v>679</v>
      </c>
    </row>
    <row r="14" ht="51" customHeight="1" spans="2:12">
      <c r="B14" s="59">
        <v>3</v>
      </c>
      <c r="C14" s="59" t="s">
        <v>680</v>
      </c>
      <c r="D14" s="60" t="s">
        <v>681</v>
      </c>
      <c r="E14" s="60" t="s">
        <v>645</v>
      </c>
      <c r="F14" s="61" t="s">
        <v>392</v>
      </c>
      <c r="G14" s="62" t="s">
        <v>682</v>
      </c>
      <c r="H14" s="63" t="s">
        <v>683</v>
      </c>
      <c r="I14" s="64" t="s">
        <v>684</v>
      </c>
      <c r="J14" s="64" t="s">
        <v>685</v>
      </c>
      <c r="K14" s="62" t="s">
        <v>686</v>
      </c>
      <c r="L14" s="65" t="s">
        <v>687</v>
      </c>
    </row>
    <row r="15" ht="51" customHeight="1" spans="2:12">
      <c r="B15" s="66"/>
      <c r="C15" s="66"/>
      <c r="D15" s="66"/>
      <c r="E15" s="66"/>
      <c r="F15" s="67" t="s">
        <v>192</v>
      </c>
      <c r="G15" s="68" t="s">
        <v>688</v>
      </c>
      <c r="H15" s="69" t="s">
        <v>683</v>
      </c>
      <c r="I15" s="70" t="s">
        <v>684</v>
      </c>
      <c r="J15" s="70" t="s">
        <v>689</v>
      </c>
      <c r="K15" s="68" t="s">
        <v>690</v>
      </c>
      <c r="L15" s="71" t="s">
        <v>691</v>
      </c>
    </row>
    <row r="16" ht="36" customHeight="1" spans="2:12">
      <c r="B16" s="66"/>
      <c r="C16" s="66"/>
      <c r="D16" s="66"/>
      <c r="E16" s="66"/>
      <c r="F16" s="72" t="s">
        <v>193</v>
      </c>
      <c r="G16" s="73" t="s">
        <v>692</v>
      </c>
      <c r="H16" s="74" t="s">
        <v>475</v>
      </c>
      <c r="I16" s="75" t="s">
        <v>693</v>
      </c>
      <c r="J16" s="75" t="s">
        <v>455</v>
      </c>
      <c r="K16" s="73" t="s">
        <v>694</v>
      </c>
      <c r="L16" s="76" t="s">
        <v>695</v>
      </c>
    </row>
    <row r="17" ht="36" customHeight="1" spans="2:12">
      <c r="B17" s="66"/>
      <c r="C17" s="66"/>
      <c r="D17" s="66"/>
      <c r="E17" s="66"/>
      <c r="F17" s="77" t="s">
        <v>194</v>
      </c>
      <c r="G17" s="78" t="s">
        <v>696</v>
      </c>
      <c r="H17" s="79" t="s">
        <v>683</v>
      </c>
      <c r="I17" s="80" t="s">
        <v>697</v>
      </c>
      <c r="J17" s="80" t="s">
        <v>698</v>
      </c>
      <c r="K17" s="78" t="s">
        <v>699</v>
      </c>
      <c r="L17" s="81" t="s">
        <v>700</v>
      </c>
    </row>
    <row r="18" ht="51" customHeight="1" spans="2:12">
      <c r="B18" s="59">
        <v>4</v>
      </c>
      <c r="C18" s="59" t="s">
        <v>85</v>
      </c>
      <c r="D18" s="60" t="s">
        <v>701</v>
      </c>
      <c r="E18" s="60" t="s">
        <v>645</v>
      </c>
      <c r="F18" s="61" t="s">
        <v>392</v>
      </c>
      <c r="G18" s="62" t="s">
        <v>702</v>
      </c>
      <c r="H18" s="63" t="s">
        <v>703</v>
      </c>
      <c r="I18" s="64" t="s">
        <v>518</v>
      </c>
      <c r="J18" s="64" t="s">
        <v>704</v>
      </c>
      <c r="K18" s="62" t="s">
        <v>705</v>
      </c>
      <c r="L18" s="65" t="s">
        <v>706</v>
      </c>
    </row>
    <row r="19" ht="66" customHeight="1" spans="2:12">
      <c r="B19" s="66"/>
      <c r="C19" s="66"/>
      <c r="D19" s="66"/>
      <c r="E19" s="66"/>
      <c r="F19" s="67" t="s">
        <v>192</v>
      </c>
      <c r="G19" s="68" t="s">
        <v>707</v>
      </c>
      <c r="H19" s="69" t="s">
        <v>703</v>
      </c>
      <c r="I19" s="70" t="s">
        <v>518</v>
      </c>
      <c r="J19" s="70" t="s">
        <v>708</v>
      </c>
      <c r="K19" s="68" t="s">
        <v>709</v>
      </c>
      <c r="L19" s="71" t="s">
        <v>710</v>
      </c>
    </row>
    <row r="20" ht="36" customHeight="1" spans="2:12">
      <c r="B20" s="66"/>
      <c r="C20" s="66"/>
      <c r="D20" s="66"/>
      <c r="E20" s="66"/>
      <c r="F20" s="72" t="s">
        <v>193</v>
      </c>
      <c r="G20" s="73" t="s">
        <v>711</v>
      </c>
      <c r="H20" s="74" t="s">
        <v>475</v>
      </c>
      <c r="I20" s="75" t="s">
        <v>518</v>
      </c>
      <c r="J20" s="75" t="s">
        <v>519</v>
      </c>
      <c r="K20" s="73" t="s">
        <v>712</v>
      </c>
      <c r="L20" s="76" t="s">
        <v>713</v>
      </c>
    </row>
    <row r="21" ht="36" customHeight="1" spans="2:12">
      <c r="B21" s="66"/>
      <c r="C21" s="66"/>
      <c r="D21" s="66"/>
      <c r="E21" s="66"/>
      <c r="F21" s="77" t="s">
        <v>194</v>
      </c>
      <c r="G21" s="78" t="s">
        <v>714</v>
      </c>
      <c r="H21" s="79" t="s">
        <v>703</v>
      </c>
      <c r="I21" s="80" t="s">
        <v>518</v>
      </c>
      <c r="J21" s="80" t="s">
        <v>715</v>
      </c>
      <c r="K21" s="78" t="s">
        <v>716</v>
      </c>
      <c r="L21" s="81" t="s">
        <v>717</v>
      </c>
    </row>
    <row r="22" ht="51" customHeight="1" spans="2:12">
      <c r="B22" s="59">
        <v>5</v>
      </c>
      <c r="C22" s="59" t="s">
        <v>298</v>
      </c>
      <c r="D22" s="60" t="s">
        <v>718</v>
      </c>
      <c r="E22" s="60" t="s">
        <v>645</v>
      </c>
      <c r="F22" s="61" t="s">
        <v>392</v>
      </c>
      <c r="G22" s="62" t="s">
        <v>719</v>
      </c>
      <c r="H22" s="63" t="s">
        <v>683</v>
      </c>
      <c r="I22" s="64" t="s">
        <v>720</v>
      </c>
      <c r="J22" s="64" t="s">
        <v>455</v>
      </c>
      <c r="K22" s="62" t="s">
        <v>721</v>
      </c>
      <c r="L22" s="65" t="s">
        <v>722</v>
      </c>
    </row>
    <row r="23" ht="51" customHeight="1" spans="2:12">
      <c r="B23" s="66"/>
      <c r="C23" s="66"/>
      <c r="D23" s="66"/>
      <c r="E23" s="66"/>
      <c r="F23" s="67" t="s">
        <v>192</v>
      </c>
      <c r="G23" s="68" t="s">
        <v>723</v>
      </c>
      <c r="H23" s="69" t="s">
        <v>683</v>
      </c>
      <c r="I23" s="70" t="s">
        <v>720</v>
      </c>
      <c r="J23" s="70" t="s">
        <v>455</v>
      </c>
      <c r="K23" s="68" t="s">
        <v>724</v>
      </c>
      <c r="L23" s="71" t="s">
        <v>725</v>
      </c>
    </row>
    <row r="24" ht="36" customHeight="1" spans="2:12">
      <c r="B24" s="66"/>
      <c r="C24" s="66"/>
      <c r="D24" s="66"/>
      <c r="E24" s="66"/>
      <c r="F24" s="72" t="s">
        <v>193</v>
      </c>
      <c r="G24" s="73" t="s">
        <v>726</v>
      </c>
      <c r="H24" s="74" t="s">
        <v>475</v>
      </c>
      <c r="I24" s="75" t="s">
        <v>720</v>
      </c>
      <c r="J24" s="75" t="s">
        <v>519</v>
      </c>
      <c r="K24" s="73" t="s">
        <v>727</v>
      </c>
      <c r="L24" s="76" t="s">
        <v>728</v>
      </c>
    </row>
    <row r="25" ht="36" customHeight="1" spans="2:12">
      <c r="B25" s="66"/>
      <c r="C25" s="66"/>
      <c r="D25" s="66"/>
      <c r="E25" s="66"/>
      <c r="F25" s="77" t="s">
        <v>194</v>
      </c>
      <c r="G25" s="78" t="s">
        <v>729</v>
      </c>
      <c r="H25" s="79" t="s">
        <v>703</v>
      </c>
      <c r="I25" s="80" t="s">
        <v>720</v>
      </c>
      <c r="J25" s="80" t="s">
        <v>455</v>
      </c>
      <c r="K25" s="78" t="s">
        <v>730</v>
      </c>
      <c r="L25" s="81" t="s">
        <v>731</v>
      </c>
    </row>
    <row r="26" ht="51" customHeight="1" spans="2:12">
      <c r="B26" s="59">
        <v>6</v>
      </c>
      <c r="C26" s="59" t="s">
        <v>306</v>
      </c>
      <c r="D26" s="60" t="s">
        <v>732</v>
      </c>
      <c r="E26" s="60" t="s">
        <v>645</v>
      </c>
      <c r="F26" s="61" t="s">
        <v>392</v>
      </c>
      <c r="G26" s="62" t="s">
        <v>733</v>
      </c>
      <c r="H26" s="63" t="s">
        <v>734</v>
      </c>
      <c r="I26" s="64" t="s">
        <v>609</v>
      </c>
      <c r="J26" s="64" t="s">
        <v>735</v>
      </c>
      <c r="K26" s="62" t="s">
        <v>736</v>
      </c>
      <c r="L26" s="65" t="s">
        <v>737</v>
      </c>
    </row>
    <row r="27" ht="51" customHeight="1" spans="2:12">
      <c r="B27" s="66"/>
      <c r="C27" s="66"/>
      <c r="D27" s="66"/>
      <c r="E27" s="66"/>
      <c r="F27" s="67" t="s">
        <v>192</v>
      </c>
      <c r="G27" s="68" t="s">
        <v>738</v>
      </c>
      <c r="H27" s="69" t="s">
        <v>614</v>
      </c>
      <c r="I27" s="70" t="s">
        <v>609</v>
      </c>
      <c r="J27" s="70" t="s">
        <v>739</v>
      </c>
      <c r="K27" s="68" t="s">
        <v>740</v>
      </c>
      <c r="L27" s="71" t="s">
        <v>741</v>
      </c>
    </row>
    <row r="28" ht="36" customHeight="1" spans="2:12">
      <c r="B28" s="66"/>
      <c r="C28" s="66"/>
      <c r="D28" s="66"/>
      <c r="E28" s="66"/>
      <c r="F28" s="72" t="s">
        <v>193</v>
      </c>
      <c r="G28" s="73" t="s">
        <v>617</v>
      </c>
      <c r="H28" s="74" t="s">
        <v>618</v>
      </c>
      <c r="I28" s="75" t="s">
        <v>609</v>
      </c>
      <c r="J28" s="75" t="s">
        <v>735</v>
      </c>
      <c r="K28" s="73" t="s">
        <v>742</v>
      </c>
      <c r="L28" s="76" t="s">
        <v>620</v>
      </c>
    </row>
    <row r="29" ht="36" customHeight="1" spans="2:12">
      <c r="B29" s="66"/>
      <c r="C29" s="66"/>
      <c r="D29" s="66"/>
      <c r="E29" s="66"/>
      <c r="F29" s="77" t="s">
        <v>194</v>
      </c>
      <c r="G29" s="78" t="s">
        <v>743</v>
      </c>
      <c r="H29" s="79" t="s">
        <v>744</v>
      </c>
      <c r="I29" s="80" t="s">
        <v>609</v>
      </c>
      <c r="J29" s="80" t="s">
        <v>455</v>
      </c>
      <c r="K29" s="78" t="s">
        <v>745</v>
      </c>
      <c r="L29" s="81" t="s">
        <v>746</v>
      </c>
    </row>
    <row r="30" ht="66" customHeight="1" spans="2:12">
      <c r="B30" s="59">
        <v>7</v>
      </c>
      <c r="C30" s="59" t="s">
        <v>310</v>
      </c>
      <c r="D30" s="60" t="s">
        <v>747</v>
      </c>
      <c r="E30" s="60" t="s">
        <v>645</v>
      </c>
      <c r="F30" s="61" t="s">
        <v>392</v>
      </c>
      <c r="G30" s="62" t="s">
        <v>748</v>
      </c>
      <c r="H30" s="63" t="s">
        <v>703</v>
      </c>
      <c r="I30" s="64" t="s">
        <v>749</v>
      </c>
      <c r="J30" s="64" t="s">
        <v>518</v>
      </c>
      <c r="K30" s="62" t="s">
        <v>750</v>
      </c>
      <c r="L30" s="65" t="s">
        <v>751</v>
      </c>
    </row>
    <row r="31" ht="66" customHeight="1" spans="2:12">
      <c r="B31" s="66"/>
      <c r="C31" s="66"/>
      <c r="D31" s="66"/>
      <c r="E31" s="66"/>
      <c r="F31" s="67" t="s">
        <v>192</v>
      </c>
      <c r="G31" s="68" t="s">
        <v>752</v>
      </c>
      <c r="H31" s="69" t="s">
        <v>703</v>
      </c>
      <c r="I31" s="70" t="s">
        <v>749</v>
      </c>
      <c r="J31" s="70" t="s">
        <v>518</v>
      </c>
      <c r="K31" s="68" t="s">
        <v>753</v>
      </c>
      <c r="L31" s="71" t="s">
        <v>754</v>
      </c>
    </row>
    <row r="32" ht="36" customHeight="1" spans="2:12">
      <c r="B32" s="66"/>
      <c r="C32" s="66"/>
      <c r="D32" s="66"/>
      <c r="E32" s="66"/>
      <c r="F32" s="72" t="s">
        <v>193</v>
      </c>
      <c r="G32" s="73" t="s">
        <v>755</v>
      </c>
      <c r="H32" s="74" t="s">
        <v>475</v>
      </c>
      <c r="I32" s="75" t="s">
        <v>756</v>
      </c>
      <c r="J32" s="75" t="s">
        <v>757</v>
      </c>
      <c r="K32" s="73" t="s">
        <v>758</v>
      </c>
      <c r="L32" s="76" t="s">
        <v>759</v>
      </c>
    </row>
    <row r="33" ht="36" customHeight="1" spans="2:12">
      <c r="B33" s="66"/>
      <c r="C33" s="66"/>
      <c r="D33" s="66"/>
      <c r="E33" s="66"/>
      <c r="F33" s="77" t="s">
        <v>194</v>
      </c>
      <c r="G33" s="78" t="s">
        <v>760</v>
      </c>
      <c r="H33" s="79" t="s">
        <v>703</v>
      </c>
      <c r="I33" s="80" t="s">
        <v>749</v>
      </c>
      <c r="J33" s="80" t="s">
        <v>735</v>
      </c>
      <c r="K33" s="78" t="s">
        <v>761</v>
      </c>
      <c r="L33" s="81" t="s">
        <v>762</v>
      </c>
    </row>
    <row r="34" ht="51" customHeight="1" spans="2:12">
      <c r="B34" s="59">
        <v>8</v>
      </c>
      <c r="C34" s="59" t="s">
        <v>314</v>
      </c>
      <c r="D34" s="60" t="s">
        <v>763</v>
      </c>
      <c r="E34" s="60" t="s">
        <v>645</v>
      </c>
      <c r="F34" s="61" t="s">
        <v>392</v>
      </c>
      <c r="G34" s="62" t="s">
        <v>764</v>
      </c>
      <c r="H34" s="63" t="s">
        <v>765</v>
      </c>
      <c r="I34" s="64" t="s">
        <v>766</v>
      </c>
      <c r="J34" s="64" t="s">
        <v>496</v>
      </c>
      <c r="K34" s="62" t="s">
        <v>767</v>
      </c>
      <c r="L34" s="65" t="s">
        <v>768</v>
      </c>
    </row>
    <row r="35" ht="51" customHeight="1" spans="2:12">
      <c r="B35" s="66"/>
      <c r="C35" s="66"/>
      <c r="D35" s="66"/>
      <c r="E35" s="66"/>
      <c r="F35" s="67" t="s">
        <v>192</v>
      </c>
      <c r="G35" s="68" t="s">
        <v>769</v>
      </c>
      <c r="H35" s="69" t="s">
        <v>765</v>
      </c>
      <c r="I35" s="70" t="s">
        <v>766</v>
      </c>
      <c r="J35" s="70" t="s">
        <v>496</v>
      </c>
      <c r="K35" s="68" t="s">
        <v>770</v>
      </c>
      <c r="L35" s="71" t="s">
        <v>771</v>
      </c>
    </row>
    <row r="36" ht="36" customHeight="1" spans="2:12">
      <c r="B36" s="66"/>
      <c r="C36" s="66"/>
      <c r="D36" s="66"/>
      <c r="E36" s="66"/>
      <c r="F36" s="72" t="s">
        <v>193</v>
      </c>
      <c r="G36" s="73" t="s">
        <v>772</v>
      </c>
      <c r="H36" s="74" t="s">
        <v>773</v>
      </c>
      <c r="I36" s="75" t="s">
        <v>766</v>
      </c>
      <c r="J36" s="75" t="s">
        <v>455</v>
      </c>
      <c r="K36" s="73" t="s">
        <v>774</v>
      </c>
      <c r="L36" s="76" t="s">
        <v>775</v>
      </c>
    </row>
    <row r="37" ht="36" customHeight="1" spans="2:12">
      <c r="B37" s="66"/>
      <c r="C37" s="66"/>
      <c r="D37" s="66"/>
      <c r="E37" s="66"/>
      <c r="F37" s="77" t="s">
        <v>194</v>
      </c>
      <c r="G37" s="78" t="s">
        <v>776</v>
      </c>
      <c r="H37" s="79" t="s">
        <v>765</v>
      </c>
      <c r="I37" s="80" t="s">
        <v>766</v>
      </c>
      <c r="J37" s="80" t="s">
        <v>639</v>
      </c>
      <c r="K37" s="78" t="s">
        <v>777</v>
      </c>
      <c r="L37" s="81" t="s">
        <v>778</v>
      </c>
    </row>
    <row r="38" ht="66" customHeight="1" spans="2:12">
      <c r="B38" s="59">
        <v>9</v>
      </c>
      <c r="C38" s="59" t="s">
        <v>319</v>
      </c>
      <c r="D38" s="60" t="s">
        <v>779</v>
      </c>
      <c r="E38" s="60" t="s">
        <v>645</v>
      </c>
      <c r="F38" s="61" t="s">
        <v>392</v>
      </c>
      <c r="G38" s="62" t="s">
        <v>780</v>
      </c>
      <c r="H38" s="63" t="s">
        <v>781</v>
      </c>
      <c r="I38" s="64" t="s">
        <v>782</v>
      </c>
      <c r="J38" s="64" t="s">
        <v>783</v>
      </c>
      <c r="K38" s="62" t="s">
        <v>784</v>
      </c>
      <c r="L38" s="65" t="s">
        <v>785</v>
      </c>
    </row>
    <row r="39" ht="66" customHeight="1" spans="2:12">
      <c r="B39" s="66"/>
      <c r="C39" s="66"/>
      <c r="D39" s="66"/>
      <c r="E39" s="66"/>
      <c r="F39" s="67" t="s">
        <v>192</v>
      </c>
      <c r="G39" s="68" t="s">
        <v>786</v>
      </c>
      <c r="H39" s="69" t="s">
        <v>787</v>
      </c>
      <c r="I39" s="70" t="s">
        <v>782</v>
      </c>
      <c r="J39" s="70" t="s">
        <v>788</v>
      </c>
      <c r="K39" s="68" t="s">
        <v>789</v>
      </c>
      <c r="L39" s="71" t="s">
        <v>790</v>
      </c>
    </row>
    <row r="40" ht="36" customHeight="1" spans="2:12">
      <c r="B40" s="66"/>
      <c r="C40" s="66"/>
      <c r="D40" s="66"/>
      <c r="E40" s="66"/>
      <c r="F40" s="72" t="s">
        <v>193</v>
      </c>
      <c r="G40" s="73" t="s">
        <v>791</v>
      </c>
      <c r="H40" s="74" t="s">
        <v>792</v>
      </c>
      <c r="I40" s="75" t="s">
        <v>693</v>
      </c>
      <c r="J40" s="75" t="s">
        <v>793</v>
      </c>
      <c r="K40" s="73" t="s">
        <v>794</v>
      </c>
      <c r="L40" s="76" t="s">
        <v>795</v>
      </c>
    </row>
    <row r="41" ht="36" customHeight="1" spans="2:12">
      <c r="B41" s="66"/>
      <c r="C41" s="66"/>
      <c r="D41" s="66"/>
      <c r="E41" s="66"/>
      <c r="F41" s="77" t="s">
        <v>194</v>
      </c>
      <c r="G41" s="78" t="s">
        <v>796</v>
      </c>
      <c r="H41" s="79" t="s">
        <v>797</v>
      </c>
      <c r="I41" s="80" t="s">
        <v>782</v>
      </c>
      <c r="J41" s="80" t="s">
        <v>798</v>
      </c>
      <c r="K41" s="78" t="s">
        <v>799</v>
      </c>
      <c r="L41" s="81" t="s">
        <v>800</v>
      </c>
    </row>
  </sheetData>
  <mergeCells count="38">
    <mergeCell ref="B2:L2"/>
    <mergeCell ref="B3:L3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D6:D9"/>
    <mergeCell ref="D10:D13"/>
    <mergeCell ref="D14:D17"/>
    <mergeCell ref="D18:D21"/>
    <mergeCell ref="D22:D25"/>
    <mergeCell ref="D26:D29"/>
    <mergeCell ref="D30:D33"/>
    <mergeCell ref="D34:D37"/>
    <mergeCell ref="D38:D41"/>
    <mergeCell ref="E6:E9"/>
    <mergeCell ref="E10:E13"/>
    <mergeCell ref="E14:E17"/>
    <mergeCell ref="E18:E21"/>
    <mergeCell ref="E22:E25"/>
    <mergeCell ref="E26:E29"/>
    <mergeCell ref="E30:E33"/>
    <mergeCell ref="E34:E37"/>
    <mergeCell ref="E38:E41"/>
  </mergeCells>
  <printOptions horizontalCentered="1"/>
  <pageMargins left="0.3" right="0.3" top="0.4" bottom="0.4" header="0.5" footer="0.5"/>
  <pageSetup paperSize="1" fitToHeight="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F18"/>
  <sheetViews>
    <sheetView showGridLines="0" workbookViewId="0">
      <selection activeCell="A1" sqref="A1"/>
    </sheetView>
  </sheetViews>
  <sheetFormatPr defaultColWidth="8.6796875" defaultRowHeight="16.8" outlineLevelCol="5"/>
  <cols>
    <col min="1" max="1" width="2.5" customWidth="1"/>
    <col min="2" max="2" width="14" customWidth="1"/>
    <col min="3" max="6" width="30" customWidth="1"/>
  </cols>
  <sheetData>
    <row r="2" ht="33.75" customHeight="1" spans="2:6">
      <c r="B2" s="36" t="s">
        <v>801</v>
      </c>
    </row>
    <row r="3" ht="19.5" customHeight="1" spans="2:6">
      <c r="B3" s="37" t="s">
        <v>802</v>
      </c>
    </row>
    <row r="5" ht="30" customHeight="1" spans="2:6">
      <c r="B5" s="38" t="s">
        <v>803</v>
      </c>
      <c r="C5" s="39" t="s">
        <v>804</v>
      </c>
      <c r="D5" s="14"/>
      <c r="E5" s="14"/>
      <c r="F5" s="15"/>
    </row>
    <row r="6" ht="21.75" customHeight="1" spans="2:6">
      <c r="B6" s="40" t="s">
        <v>805</v>
      </c>
      <c r="C6" s="41" t="s">
        <v>806</v>
      </c>
      <c r="D6" s="41" t="s">
        <v>807</v>
      </c>
      <c r="E6" s="41" t="s">
        <v>808</v>
      </c>
      <c r="F6" s="41" t="s">
        <v>809</v>
      </c>
    </row>
    <row r="7" ht="21" customHeight="1" spans="2:6">
      <c r="B7" s="42" t="s">
        <v>810</v>
      </c>
      <c r="C7" s="43" t="s">
        <v>811</v>
      </c>
      <c r="D7" s="43" t="s">
        <v>812</v>
      </c>
      <c r="E7" s="43" t="s">
        <v>813</v>
      </c>
      <c r="F7" s="43" t="s">
        <v>814</v>
      </c>
    </row>
    <row r="8" ht="21" customHeight="1" spans="2:6">
      <c r="B8" s="42" t="s">
        <v>815</v>
      </c>
      <c r="C8" s="43" t="s">
        <v>816</v>
      </c>
      <c r="D8" s="43" t="s">
        <v>817</v>
      </c>
      <c r="E8" s="43" t="s">
        <v>818</v>
      </c>
      <c r="F8" s="43" t="s">
        <v>819</v>
      </c>
    </row>
    <row r="9" ht="21" customHeight="1" spans="2:6">
      <c r="B9" s="44" t="s">
        <v>820</v>
      </c>
      <c r="C9" s="45" t="s">
        <v>821</v>
      </c>
      <c r="D9" s="45" t="s">
        <v>822</v>
      </c>
      <c r="E9" s="45" t="s">
        <v>823</v>
      </c>
      <c r="F9" s="45" t="s">
        <v>824</v>
      </c>
    </row>
    <row r="10" ht="21" customHeight="1" spans="2:6">
      <c r="B10" s="46" t="s">
        <v>825</v>
      </c>
      <c r="C10" s="47" t="s">
        <v>826</v>
      </c>
      <c r="D10" s="47" t="s">
        <v>827</v>
      </c>
      <c r="E10" s="47" t="s">
        <v>828</v>
      </c>
      <c r="F10" s="47" t="s">
        <v>829</v>
      </c>
    </row>
    <row r="11" ht="21" customHeight="1" spans="2:6">
      <c r="B11" s="46" t="s">
        <v>830</v>
      </c>
      <c r="C11" s="47" t="s">
        <v>831</v>
      </c>
      <c r="D11" s="47" t="s">
        <v>832</v>
      </c>
      <c r="E11" s="47" t="s">
        <v>833</v>
      </c>
      <c r="F11" s="47" t="s">
        <v>834</v>
      </c>
    </row>
    <row r="12" ht="21" customHeight="1" spans="2:6">
      <c r="B12" s="46" t="s">
        <v>835</v>
      </c>
      <c r="C12" s="47" t="s">
        <v>836</v>
      </c>
      <c r="D12" s="47" t="s">
        <v>837</v>
      </c>
      <c r="E12" s="47" t="s">
        <v>838</v>
      </c>
      <c r="F12" s="47" t="s">
        <v>839</v>
      </c>
    </row>
    <row r="13" ht="36" customHeight="1" spans="2:6">
      <c r="B13" s="48" t="s">
        <v>840</v>
      </c>
      <c r="C13" s="49" t="s">
        <v>841</v>
      </c>
      <c r="D13" s="49" t="s">
        <v>842</v>
      </c>
      <c r="E13" s="49" t="s">
        <v>843</v>
      </c>
      <c r="F13" s="49" t="s">
        <v>844</v>
      </c>
    </row>
    <row r="14" ht="36" customHeight="1" spans="2:6">
      <c r="B14" s="48" t="s">
        <v>845</v>
      </c>
      <c r="C14" s="49" t="s">
        <v>846</v>
      </c>
      <c r="D14" s="49" t="s">
        <v>847</v>
      </c>
      <c r="E14" s="49" t="s">
        <v>848</v>
      </c>
      <c r="F14" s="49" t="s">
        <v>849</v>
      </c>
    </row>
    <row r="15" ht="21" customHeight="1" spans="2:6">
      <c r="B15" s="50" t="s">
        <v>850</v>
      </c>
      <c r="C15" s="51" t="s">
        <v>851</v>
      </c>
      <c r="D15" s="51" t="s">
        <v>852</v>
      </c>
      <c r="E15" s="51" t="s">
        <v>853</v>
      </c>
      <c r="F15" s="51" t="s">
        <v>854</v>
      </c>
    </row>
    <row r="16" ht="36" customHeight="1" spans="2:6">
      <c r="B16" s="52" t="s">
        <v>855</v>
      </c>
      <c r="C16" s="53" t="s">
        <v>856</v>
      </c>
      <c r="D16" s="53" t="s">
        <v>857</v>
      </c>
      <c r="E16" s="53" t="s">
        <v>858</v>
      </c>
      <c r="F16" s="53" t="s">
        <v>859</v>
      </c>
    </row>
    <row r="18" ht="43.5" customHeight="1" spans="2:6">
      <c r="B18" s="54" t="s">
        <v>860</v>
      </c>
      <c r="C18" s="55" t="s">
        <v>861</v>
      </c>
      <c r="D18" s="14"/>
      <c r="E18" s="14"/>
      <c r="F18" s="15"/>
    </row>
  </sheetData>
  <mergeCells count="4">
    <mergeCell ref="B2:F2"/>
    <mergeCell ref="B3:F3"/>
    <mergeCell ref="C5:F5"/>
    <mergeCell ref="C18:F18"/>
  </mergeCells>
  <printOptions horizontalCentered="1"/>
  <pageMargins left="0.3" right="0.3" top="0.4" bottom="0.4" header="0.511811023622047" footer="0.511811023622047"/>
  <pageSetup paperSize="1" fitToHeight="0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E10"/>
  <sheetViews>
    <sheetView showGridLines="0" workbookViewId="0">
      <selection activeCell="A1" sqref="A1"/>
    </sheetView>
  </sheetViews>
  <sheetFormatPr defaultColWidth="8.6796875" defaultRowHeight="16.8" outlineLevelCol="4"/>
  <cols>
    <col min="1" max="1" width="2.5" customWidth="1"/>
    <col min="2" max="2" width="14" customWidth="1"/>
    <col min="3" max="3" width="18" customWidth="1"/>
    <col min="4" max="4" width="26" customWidth="1"/>
    <col min="5" max="5" width="66" customWidth="1"/>
  </cols>
  <sheetData>
    <row r="2" ht="33.75" customHeight="1" spans="2:5">
      <c r="B2" s="1" t="s">
        <v>862</v>
      </c>
    </row>
    <row r="3" ht="19.5" customHeight="1" spans="2:5">
      <c r="B3" s="2" t="s">
        <v>863</v>
      </c>
    </row>
    <row r="5" ht="21.75" customHeight="1" spans="2:5">
      <c r="B5" s="3" t="s">
        <v>864</v>
      </c>
      <c r="C5" s="3" t="s">
        <v>374</v>
      </c>
      <c r="D5" s="3" t="s">
        <v>865</v>
      </c>
      <c r="E5" s="3" t="s">
        <v>866</v>
      </c>
    </row>
    <row r="6" ht="21" customHeight="1" spans="2:5">
      <c r="B6" s="23" t="s">
        <v>867</v>
      </c>
      <c r="C6" s="24" t="s">
        <v>868</v>
      </c>
      <c r="D6" s="25" t="s">
        <v>869</v>
      </c>
      <c r="E6" s="25" t="s">
        <v>870</v>
      </c>
    </row>
    <row r="7" ht="36" customHeight="1" spans="2:5">
      <c r="B7" s="26" t="s">
        <v>871</v>
      </c>
      <c r="C7" s="27" t="s">
        <v>872</v>
      </c>
      <c r="D7" s="28" t="s">
        <v>873</v>
      </c>
      <c r="E7" s="28" t="s">
        <v>874</v>
      </c>
    </row>
    <row r="8" ht="36" customHeight="1" spans="2:5">
      <c r="B8" s="29" t="s">
        <v>875</v>
      </c>
      <c r="C8" s="30" t="s">
        <v>876</v>
      </c>
      <c r="D8" s="31" t="s">
        <v>877</v>
      </c>
      <c r="E8" s="31" t="s">
        <v>878</v>
      </c>
    </row>
    <row r="9" ht="36" customHeight="1" spans="2:5">
      <c r="B9" s="32" t="s">
        <v>879</v>
      </c>
      <c r="C9" s="33" t="s">
        <v>880</v>
      </c>
      <c r="D9" s="34" t="s">
        <v>881</v>
      </c>
      <c r="E9" s="34" t="s">
        <v>882</v>
      </c>
    </row>
    <row r="10" ht="39.75" customHeight="1" spans="2:5">
      <c r="B10" s="35" t="s">
        <v>883</v>
      </c>
      <c r="C10" s="14"/>
      <c r="D10" s="14"/>
      <c r="E10" s="15"/>
    </row>
  </sheetData>
  <mergeCells count="3">
    <mergeCell ref="B2:E2"/>
    <mergeCell ref="B3:E3"/>
    <mergeCell ref="B10:E10"/>
  </mergeCells>
  <printOptions horizontalCentered="1"/>
  <pageMargins left="0.3" right="0.3" top="0.4" bottom="0.4" header="0.511811023622047" footer="0.511811023622047"/>
  <pageSetup paperSize="1" fitToHeight="0" orientation="landscape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L15"/>
  <sheetViews>
    <sheetView showGridLines="0" workbookViewId="0">
      <pane xSplit="1" ySplit="5" topLeftCell="B6" activePane="bottomRight" state="frozen"/>
      <selection/>
      <selection pane="topRight"/>
      <selection pane="bottomLeft"/>
      <selection pane="bottomRight" activeCell="I8" sqref="I8"/>
    </sheetView>
  </sheetViews>
  <sheetFormatPr defaultColWidth="8.6796875" defaultRowHeight="16.8"/>
  <cols>
    <col min="1" max="1" width="2.203125" customWidth="1"/>
    <col min="2" max="2" width="5" customWidth="1"/>
    <col min="3" max="3" width="24" customWidth="1"/>
    <col min="4" max="4" width="12" customWidth="1"/>
    <col min="5" max="5" width="14" customWidth="1"/>
    <col min="6" max="6" width="9" customWidth="1"/>
    <col min="7" max="7" width="11" customWidth="1"/>
    <col min="8" max="8" width="40" customWidth="1"/>
    <col min="9" max="9" width="20" customWidth="1"/>
    <col min="10" max="10" width="11" customWidth="1"/>
    <col min="11" max="11" width="10" customWidth="1"/>
    <col min="12" max="12" width="24" customWidth="1"/>
  </cols>
  <sheetData>
    <row r="2" ht="33.75" customHeight="1" spans="2:12">
      <c r="B2" s="1" t="s">
        <v>884</v>
      </c>
    </row>
    <row r="3" ht="19.5" customHeight="1" spans="2:12">
      <c r="B3" s="2" t="s">
        <v>885</v>
      </c>
    </row>
    <row r="5" ht="33.75" customHeight="1" spans="2:12">
      <c r="B5" s="16" t="s">
        <v>380</v>
      </c>
      <c r="C5" s="16" t="s">
        <v>886</v>
      </c>
      <c r="D5" s="16" t="s">
        <v>887</v>
      </c>
      <c r="E5" s="16" t="s">
        <v>383</v>
      </c>
      <c r="F5" s="16" t="s">
        <v>888</v>
      </c>
      <c r="G5" s="16" t="s">
        <v>889</v>
      </c>
      <c r="H5" s="16" t="s">
        <v>890</v>
      </c>
      <c r="I5" s="16" t="s">
        <v>891</v>
      </c>
      <c r="J5" s="16" t="s">
        <v>892</v>
      </c>
      <c r="K5" s="16" t="s">
        <v>893</v>
      </c>
      <c r="L5" s="16" t="s">
        <v>894</v>
      </c>
    </row>
    <row r="6" ht="43.5" customHeight="1" spans="2:12">
      <c r="B6" s="17" t="s">
        <v>895</v>
      </c>
      <c r="C6" s="18" t="s">
        <v>896</v>
      </c>
      <c r="D6" s="19" t="s">
        <v>897</v>
      </c>
      <c r="E6" s="19" t="s">
        <v>898</v>
      </c>
      <c r="F6" s="20" t="s">
        <v>703</v>
      </c>
      <c r="G6" s="17" t="s">
        <v>899</v>
      </c>
      <c r="H6" s="19" t="s">
        <v>900</v>
      </c>
      <c r="I6" s="18" t="s">
        <v>901</v>
      </c>
      <c r="J6" s="20" t="s">
        <v>902</v>
      </c>
      <c r="K6" s="17" t="s">
        <v>903</v>
      </c>
      <c r="L6" s="19" t="s">
        <v>904</v>
      </c>
    </row>
    <row r="7" ht="31.5" customHeight="1" spans="2:12">
      <c r="B7" s="21">
        <v>1</v>
      </c>
      <c r="C7" s="11"/>
      <c r="D7" s="11"/>
      <c r="E7" s="11"/>
      <c r="F7" s="22"/>
      <c r="G7" s="22"/>
      <c r="H7" s="11"/>
      <c r="I7" s="11"/>
      <c r="J7" s="22"/>
      <c r="K7" s="22"/>
      <c r="L7" s="11"/>
    </row>
    <row r="8" ht="31.5" customHeight="1" spans="2:12">
      <c r="B8" s="21">
        <v>2</v>
      </c>
      <c r="C8" s="11"/>
      <c r="D8" s="11"/>
      <c r="E8" s="11"/>
      <c r="F8" s="22"/>
      <c r="G8" s="22"/>
      <c r="H8" s="11"/>
      <c r="I8" s="11"/>
      <c r="J8" s="22"/>
      <c r="K8" s="22"/>
      <c r="L8" s="11"/>
    </row>
    <row r="9" ht="31.5" customHeight="1" spans="2:12">
      <c r="B9" s="21">
        <v>3</v>
      </c>
      <c r="C9" s="11"/>
      <c r="D9" s="11"/>
      <c r="E9" s="11"/>
      <c r="F9" s="22"/>
      <c r="G9" s="22"/>
      <c r="H9" s="11"/>
      <c r="I9" s="11"/>
      <c r="J9" s="22"/>
      <c r="K9" s="22"/>
      <c r="L9" s="11"/>
    </row>
    <row r="10" ht="31.5" customHeight="1" spans="2:12">
      <c r="B10" s="21">
        <v>4</v>
      </c>
      <c r="C10" s="11"/>
      <c r="D10" s="11"/>
      <c r="E10" s="11"/>
      <c r="F10" s="22"/>
      <c r="G10" s="22"/>
      <c r="H10" s="11"/>
      <c r="I10" s="11"/>
      <c r="J10" s="22"/>
      <c r="K10" s="22"/>
      <c r="L10" s="11"/>
    </row>
    <row r="11" ht="31.5" customHeight="1" spans="2:12">
      <c r="B11" s="21">
        <v>5</v>
      </c>
      <c r="C11" s="11"/>
      <c r="D11" s="11"/>
      <c r="E11" s="11"/>
      <c r="F11" s="22"/>
      <c r="G11" s="22"/>
      <c r="H11" s="11"/>
      <c r="I11" s="11"/>
      <c r="J11" s="22"/>
      <c r="K11" s="22"/>
      <c r="L11" s="11"/>
    </row>
    <row r="12" ht="31.5" customHeight="1" spans="2:12">
      <c r="B12" s="21">
        <v>6</v>
      </c>
      <c r="C12" s="11"/>
      <c r="D12" s="11"/>
      <c r="E12" s="11"/>
      <c r="F12" s="22"/>
      <c r="G12" s="22"/>
      <c r="H12" s="11"/>
      <c r="I12" s="11"/>
      <c r="J12" s="22"/>
      <c r="K12" s="22"/>
      <c r="L12" s="11"/>
    </row>
    <row r="13" ht="31.5" customHeight="1" spans="2:12">
      <c r="B13" s="21">
        <v>7</v>
      </c>
      <c r="C13" s="11"/>
      <c r="D13" s="11"/>
      <c r="E13" s="11"/>
      <c r="F13" s="22"/>
      <c r="G13" s="22"/>
      <c r="H13" s="11"/>
      <c r="I13" s="11"/>
      <c r="J13" s="22"/>
      <c r="K13" s="22"/>
      <c r="L13" s="11"/>
    </row>
    <row r="14" ht="31.5" customHeight="1" spans="2:12">
      <c r="B14" s="21">
        <v>8</v>
      </c>
      <c r="C14" s="11"/>
      <c r="D14" s="11"/>
      <c r="E14" s="11"/>
      <c r="F14" s="22"/>
      <c r="G14" s="22"/>
      <c r="H14" s="11"/>
      <c r="I14" s="11"/>
      <c r="J14" s="22"/>
      <c r="K14" s="22"/>
      <c r="L14" s="11"/>
    </row>
    <row r="15" ht="31.5" customHeight="1" spans="2:12">
      <c r="B15" s="21">
        <v>9</v>
      </c>
      <c r="C15" s="11"/>
      <c r="D15" s="11"/>
      <c r="E15" s="11"/>
      <c r="F15" s="22"/>
      <c r="G15" s="22"/>
      <c r="H15" s="11"/>
      <c r="I15" s="11"/>
      <c r="J15" s="22"/>
      <c r="K15" s="22"/>
      <c r="L15" s="11"/>
    </row>
  </sheetData>
  <mergeCells count="2">
    <mergeCell ref="B2:L2"/>
    <mergeCell ref="B3:L3"/>
  </mergeCells>
  <printOptions horizontalCentered="1"/>
  <pageMargins left="0.3" right="0.3" top="0.4" bottom="0.4" header="0.511811023622047" footer="0.511811023622047"/>
  <pageSetup paperSize="1" fitToHeight="0" orientation="landscape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F12"/>
  <sheetViews>
    <sheetView showGridLines="0" workbookViewId="0">
      <selection activeCell="C12" sqref="C12:F12"/>
    </sheetView>
  </sheetViews>
  <sheetFormatPr defaultColWidth="8.6796875" defaultRowHeight="16.8" outlineLevelCol="5"/>
  <cols>
    <col min="1" max="1" width="2.5" customWidth="1"/>
    <col min="2" max="2" width="14" customWidth="1"/>
    <col min="3" max="3" width="10" customWidth="1"/>
    <col min="4" max="4" width="78" customWidth="1"/>
    <col min="5" max="6" width="18" customWidth="1"/>
  </cols>
  <sheetData>
    <row r="2" ht="33.75" customHeight="1" spans="2:6">
      <c r="B2" s="1" t="s">
        <v>905</v>
      </c>
    </row>
    <row r="3" ht="19.5" customHeight="1" spans="2:6">
      <c r="B3" s="2" t="s">
        <v>906</v>
      </c>
    </row>
    <row r="5" ht="21.75" customHeight="1" spans="2:6">
      <c r="B5" s="3" t="s">
        <v>907</v>
      </c>
      <c r="C5" s="3" t="s">
        <v>908</v>
      </c>
      <c r="D5" s="3" t="s">
        <v>909</v>
      </c>
      <c r="E5" s="3" t="s">
        <v>910</v>
      </c>
      <c r="F5" s="3" t="s">
        <v>911</v>
      </c>
    </row>
    <row r="6" ht="171" customHeight="1" spans="2:6">
      <c r="B6" s="4">
        <v>46171</v>
      </c>
      <c r="C6" s="5" t="s">
        <v>912</v>
      </c>
      <c r="D6" s="6" t="s">
        <v>913</v>
      </c>
      <c r="E6" s="7" t="s">
        <v>914</v>
      </c>
      <c r="F6" s="7" t="s">
        <v>915</v>
      </c>
    </row>
    <row r="7" ht="112" spans="2:6">
      <c r="B7" s="8">
        <v>46195</v>
      </c>
      <c r="C7" s="5" t="s">
        <v>916</v>
      </c>
      <c r="D7" s="9" t="s">
        <v>917</v>
      </c>
      <c r="E7" s="7" t="s">
        <v>914</v>
      </c>
      <c r="F7" s="10" t="s">
        <v>918</v>
      </c>
    </row>
    <row r="8" ht="21.75" customHeight="1" spans="2:6">
      <c r="B8" s="11"/>
      <c r="C8" s="11"/>
      <c r="D8" s="11"/>
      <c r="E8" s="11"/>
      <c r="F8" s="11"/>
    </row>
    <row r="9" ht="21.75" customHeight="1" spans="2:6">
      <c r="B9" s="11"/>
      <c r="C9" s="11"/>
      <c r="D9" s="11"/>
      <c r="E9" s="11"/>
      <c r="F9" s="11"/>
    </row>
    <row r="10" ht="21.75" customHeight="1" spans="2:6">
      <c r="B10" s="11"/>
      <c r="C10" s="11"/>
      <c r="D10" s="11"/>
      <c r="E10" s="11"/>
      <c r="F10" s="11"/>
    </row>
    <row r="12" ht="39.75" customHeight="1" spans="2:6">
      <c r="B12" s="12" t="s">
        <v>919</v>
      </c>
      <c r="C12" s="13" t="s">
        <v>920</v>
      </c>
      <c r="D12" s="14"/>
      <c r="E12" s="14"/>
      <c r="F12" s="15"/>
    </row>
  </sheetData>
  <mergeCells count="3">
    <mergeCell ref="B2:F2"/>
    <mergeCell ref="B3:F3"/>
    <mergeCell ref="C12:F12"/>
  </mergeCells>
  <printOptions horizontalCentered="1"/>
  <pageMargins left="0.3" right="0.3" top="0.4" bottom="0.4" header="0.511811023622047" footer="0.511811023622047"/>
  <pageSetup paperSize="1" fitToHeight="0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①封面·使用说明</vt:lpstr>
      <vt:lpstr>②方法论速查·九问</vt:lpstr>
      <vt:lpstr>③四类客户·组织与角色</vt:lpstr>
      <vt:lpstr>④G64111诊断表(标准)</vt:lpstr>
      <vt:lpstr>⑤趋赢力打分表(可填写)</vt:lpstr>
      <vt:lpstr>⑥行动宝典·信息收集</vt:lpstr>
      <vt:lpstr>⑦行动宝典·关系加强</vt:lpstr>
      <vt:lpstr>⑧FORM表(能源版)</vt:lpstr>
      <vt:lpstr>⑨竞争策略741</vt:lpstr>
      <vt:lpstr>⑩行动计划模板</vt:lpstr>
      <vt:lpstr>⑪变更记录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LG</cp:lastModifiedBy>
  <cp:revision>0</cp:revision>
  <dcterms:created xsi:type="dcterms:W3CDTF">2026-05-30T18:08:00Z</dcterms:created>
  <dcterms:modified xsi:type="dcterms:W3CDTF">2026-06-22T16:09:36Z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43AE2A1AA8B2DDCC946C366A9D1BA9A7_42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